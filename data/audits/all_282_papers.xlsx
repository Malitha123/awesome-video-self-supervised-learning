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89dcdb85d404665" /></Relationships>
</file>

<file path=xl/workbook.xml><?xml version="1.0" encoding="utf-8"?>
<x:workbook xmlns:x="http://schemas.openxmlformats.org/spreadsheetml/2006/main">
  <x:sheets>
    <x:sheet xmlns:r="http://schemas.openxmlformats.org/officeDocument/2006/relationships" name="Papers" sheetId="1" r:id="R6f61bc006e2a47b5"/>
    <x:sheet xmlns:r="http://schemas.openxmlformats.org/officeDocument/2006/relationships" name="Summary" sheetId="2" r:id="R04990d053b9746d3"/>
  </x:sheets>
</x:workbook>
</file>

<file path=xl/sharedStrings.xml><?xml version="1.0" encoding="utf-8"?>
<x:sst xmlns:x="http://schemas.openxmlformats.org/spreadsheetml/2006/main"/>
</file>

<file path=xl/styles.xml><?xml version="1.0" encoding="utf-8"?>
<x:styleSheet xmlns:x="http://schemas.openxmlformats.org/spreadsheetml/2006/main">
  <x:fonts count="9">
    <x:font>
      <x:sz val="11"/>
      <x:name val="Carlito"/>
    </x:font>
    <x:font>
      <x:sz val="9"/>
      <x:color rgb="FF172033"/>
      <x:name val="Aptos"/>
    </x:font>
    <x:font>
      <x:b/>
      <x:sz val="10"/>
      <x:color rgb="FFFFFFFF"/>
      <x:name val="Aptos Display"/>
    </x:font>
    <x:font>
      <x:b/>
      <x:sz val="20"/>
      <x:color rgb="FFFFFFFF"/>
      <x:name val="Aptos Display"/>
    </x:font>
    <x:font>
      <x:i/>
      <x:sz val="10"/>
      <x:color rgb="FF334155"/>
      <x:name val="Aptos"/>
    </x:font>
    <x:font>
      <x:b/>
      <x:sz val="10"/>
      <x:color rgb="FF334155"/>
      <x:name val="Aptos"/>
    </x:font>
    <x:font>
      <x:b/>
      <x:sz val="18"/>
      <x:color rgb="FF0F4C81"/>
      <x:name val="Aptos Display"/>
    </x:font>
    <x:font>
      <x:b/>
      <x:sz val="10"/>
      <x:color rgb="FFFFFFFF"/>
      <x:name val="Aptos"/>
    </x:font>
    <x:font>
      <x:sz val="10"/>
      <x:color rgb="FF172033"/>
      <x:name val="Aptos"/>
    </x:font>
  </x:fonts>
  <x:fills count="7">
    <x:fill>
      <x:patternFill patternType="none"/>
    </x:fill>
    <x:fill>
      <x:patternFill patternType="gray125"/>
    </x:fill>
    <x:fill>
      <x:patternFill patternType="solid">
        <x:fgColor rgb="FF17324D"/>
      </x:patternFill>
    </x:fill>
    <x:fill>
      <x:patternFill patternType="solid">
        <x:fgColor rgb="FFE8F0F7"/>
      </x:patternFill>
    </x:fill>
    <x:fill>
      <x:patternFill patternType="solid">
        <x:fgColor rgb="FFDCE9F3"/>
      </x:patternFill>
    </x:fill>
    <x:fill>
      <x:patternFill patternType="solid">
        <x:fgColor rgb="FFFFFFFF"/>
      </x:patternFill>
    </x:fill>
    <x:fill>
      <x:patternFill patternType="solid">
        <x:fgColor rgb="FF0F4C81"/>
      </x:patternFill>
    </x:fill>
  </x:fills>
  <x:borders count="36">
    <x:border/>
    <x:border/>
    <x:border>
      <x:left style="medium">
        <x:color rgb="FF17324D"/>
      </x:left>
      <x:top style="medium">
        <x:color rgb="FF17324D"/>
      </x:top>
      <x:bottom style="medium">
        <x:color rgb="FF17324D"/>
      </x:bottom>
    </x:border>
    <x:border>
      <x:top style="medium">
        <x:color rgb="FF17324D"/>
      </x:top>
      <x:bottom style="medium">
        <x:color rgb="FF17324D"/>
      </x:bottom>
    </x:border>
    <x:border>
      <x:right style="medium">
        <x:color rgb="FF17324D"/>
      </x:right>
      <x:top style="medium">
        <x:color rgb="FF17324D"/>
      </x:top>
      <x:bottom style="medium">
        <x:color rgb="FF17324D"/>
      </x:bottom>
    </x:border>
    <x:border>
      <x:left style="medium">
        <x:color rgb="FF17324D"/>
      </x:left>
      <x:top style="medium">
        <x:color rgb="FF17324D"/>
      </x:top>
      <x:bottom style="medium">
        <x:color rgb="FF17324D"/>
      </x:bottom>
    </x:border>
    <x:border>
      <x:top style="medium">
        <x:color rgb="FF17324D"/>
      </x:top>
      <x:bottom style="medium">
        <x:color rgb="FF17324D"/>
      </x:bottom>
    </x:border>
    <x:border>
      <x:right style="medium">
        <x:color rgb="FF17324D"/>
      </x:right>
      <x:top style="medium">
        <x:color rgb="FF17324D"/>
      </x:top>
      <x:bottom style="medium">
        <x:color rgb="FF17324D"/>
      </x:bottom>
    </x:border>
    <x:border>
      <x:left style="thin">
        <x:color rgb="FFB6C8D8"/>
      </x:left>
      <x:top style="thin">
        <x:color rgb="FFB6C8D8"/>
      </x:top>
      <x:bottom style="thin">
        <x:color rgb="FFB6C8D8"/>
      </x:bottom>
    </x:border>
    <x:border>
      <x:right style="thin">
        <x:color rgb="FFB6C8D8"/>
      </x:right>
      <x:top style="thin">
        <x:color rgb="FFB6C8D8"/>
      </x:top>
      <x:bottom style="thin">
        <x:color rgb="FFB6C8D8"/>
      </x:bottom>
    </x:border>
    <x:border>
      <x:left style="thin">
        <x:color rgb="FFB6C8D8"/>
      </x:left>
      <x:top style="thin">
        <x:color rgb="FFB6C8D8"/>
      </x:top>
      <x:bottom style="thin">
        <x:color rgb="FFB6C8D8"/>
      </x:bottom>
    </x:border>
    <x:border>
      <x:right style="thin">
        <x:color rgb="FFB6C8D8"/>
      </x:right>
      <x:top style="thin">
        <x:color rgb="FFB6C8D8"/>
      </x:top>
      <x:bottom style="thin">
        <x:color rgb="FFB6C8D8"/>
      </x:bottom>
    </x:border>
    <x:border>
      <x:left style="medium">
        <x:color rgb="FF0F4C81"/>
      </x:left>
      <x:top style="medium">
        <x:color rgb="FF0F4C81"/>
      </x:top>
      <x:bottom style="medium">
        <x:color rgb="FF0F4C81"/>
      </x:bottom>
    </x:border>
    <x:border>
      <x:top style="medium">
        <x:color rgb="FF0F4C81"/>
      </x:top>
      <x:bottom style="medium">
        <x:color rgb="FF0F4C81"/>
      </x:bottom>
    </x:border>
    <x:border>
      <x:right style="medium">
        <x:color rgb="FF0F4C81"/>
      </x:right>
      <x:top style="medium">
        <x:color rgb="FF0F4C81"/>
      </x:top>
      <x:bottom style="medium">
        <x:color rgb="FF0F4C81"/>
      </x:bottom>
    </x:border>
    <x:border>
      <x:left style="medium">
        <x:color rgb="FF0F4C81"/>
      </x:left>
      <x:top style="medium">
        <x:color rgb="FF0F4C81"/>
      </x:top>
      <x:bottom style="medium">
        <x:color rgb="FF0F4C81"/>
      </x:bottom>
    </x:border>
    <x:border>
      <x:top style="medium">
        <x:color rgb="FF0F4C81"/>
      </x:top>
      <x:bottom style="medium">
        <x:color rgb="FF0F4C81"/>
      </x:bottom>
    </x:border>
    <x:border>
      <x:right style="medium">
        <x:color rgb="FF0F4C81"/>
      </x:right>
      <x:top style="medium">
        <x:color rgb="FF0F4C81"/>
      </x:top>
      <x:bottom style="medium">
        <x:color rgb="FF0F4C81"/>
      </x:bottom>
    </x:border>
    <x:border>
      <x:right style="thin">
        <x:color rgb="FFD7E0E8"/>
      </x:right>
      <x:bottom style="thin">
        <x:color rgb="FFD7E0E8"/>
      </x:bottom>
    </x:border>
    <x:border>
      <x:left style="thin">
        <x:color rgb="FFD7E0E8"/>
      </x:left>
      <x:right style="thin">
        <x:color rgb="FFD7E0E8"/>
      </x:right>
      <x:bottom style="thin">
        <x:color rgb="FFD7E0E8"/>
      </x:bottom>
    </x:border>
    <x:border>
      <x:left style="thin">
        <x:color rgb="FFD7E0E8"/>
      </x:left>
      <x:bottom style="thin">
        <x:color rgb="FFD7E0E8"/>
      </x:bottom>
    </x:border>
    <x:border>
      <x:right style="thin">
        <x:color rgb="FFD7E0E8"/>
      </x:right>
      <x:top style="thin">
        <x:color rgb="FFD7E0E8"/>
      </x:top>
      <x:bottom style="thin">
        <x:color rgb="FFD7E0E8"/>
      </x:bottom>
    </x:border>
    <x:border>
      <x:left style="thin">
        <x:color rgb="FFD7E0E8"/>
      </x:left>
      <x:right style="thin">
        <x:color rgb="FFD7E0E8"/>
      </x:right>
      <x:top style="thin">
        <x:color rgb="FFD7E0E8"/>
      </x:top>
      <x:bottom style="thin">
        <x:color rgb="FFD7E0E8"/>
      </x:bottom>
    </x:border>
    <x:border>
      <x:left style="thin">
        <x:color rgb="FFD7E0E8"/>
      </x:left>
      <x:top style="thin">
        <x:color rgb="FFD7E0E8"/>
      </x:top>
      <x:bottom style="thin">
        <x:color rgb="FFD7E0E8"/>
      </x:bottom>
    </x:border>
    <x:border>
      <x:right style="thin">
        <x:color rgb="FFD7E0E8"/>
      </x:right>
      <x:top style="thin">
        <x:color rgb="FFD7E0E8"/>
      </x:top>
    </x:border>
    <x:border>
      <x:left style="thin">
        <x:color rgb="FFD7E0E8"/>
      </x:left>
      <x:right style="thin">
        <x:color rgb="FFD7E0E8"/>
      </x:right>
      <x:top style="thin">
        <x:color rgb="FFD7E0E8"/>
      </x:top>
    </x:border>
    <x:border>
      <x:left style="thin">
        <x:color rgb="FFD7E0E8"/>
      </x:left>
      <x:top style="thin">
        <x:color rgb="FFD7E0E8"/>
      </x:top>
    </x:border>
    <x:border>
      <x:right style="thin">
        <x:color rgb="FFD7E0E8"/>
      </x:right>
      <x:bottom style="thin">
        <x:color rgb="FFD7E0E8"/>
      </x:bottom>
    </x:border>
    <x:border>
      <x:left style="thin">
        <x:color rgb="FFD7E0E8"/>
      </x:left>
      <x:right style="thin">
        <x:color rgb="FFD7E0E8"/>
      </x:right>
      <x:bottom style="thin">
        <x:color rgb="FFD7E0E8"/>
      </x:bottom>
    </x:border>
    <x:border>
      <x:left style="thin">
        <x:color rgb="FFD7E0E8"/>
      </x:left>
      <x:bottom style="thin">
        <x:color rgb="FFD7E0E8"/>
      </x:bottom>
    </x:border>
    <x:border>
      <x:right style="thin">
        <x:color rgb="FFD7E0E8"/>
      </x:right>
      <x:top style="thin">
        <x:color rgb="FFD7E0E8"/>
      </x:top>
      <x:bottom style="thin">
        <x:color rgb="FFD7E0E8"/>
      </x:bottom>
    </x:border>
    <x:border>
      <x:left style="thin">
        <x:color rgb="FFD7E0E8"/>
      </x:left>
      <x:right style="thin">
        <x:color rgb="FFD7E0E8"/>
      </x:right>
      <x:top style="thin">
        <x:color rgb="FFD7E0E8"/>
      </x:top>
      <x:bottom style="thin">
        <x:color rgb="FFD7E0E8"/>
      </x:bottom>
    </x:border>
    <x:border>
      <x:left style="thin">
        <x:color rgb="FFD7E0E8"/>
      </x:left>
      <x:top style="thin">
        <x:color rgb="FFD7E0E8"/>
      </x:top>
      <x:bottom style="thin">
        <x:color rgb="FFD7E0E8"/>
      </x:bottom>
    </x:border>
    <x:border>
      <x:right style="thin">
        <x:color rgb="FFD7E0E8"/>
      </x:right>
      <x:top style="thin">
        <x:color rgb="FFD7E0E8"/>
      </x:top>
    </x:border>
    <x:border>
      <x:left style="thin">
        <x:color rgb="FFD7E0E8"/>
      </x:left>
      <x:right style="thin">
        <x:color rgb="FFD7E0E8"/>
      </x:right>
      <x:top style="thin">
        <x:color rgb="FFD7E0E8"/>
      </x:top>
    </x:border>
    <x:border>
      <x:left style="thin">
        <x:color rgb="FFD7E0E8"/>
      </x:left>
      <x:top style="thin">
        <x:color rgb="FFD7E0E8"/>
      </x:top>
    </x:border>
  </x:borders>
  <x:cellStyleXfs count="1">
    <x:xf numFmtId="0" fontId="0" fillId="0" borderId="0"/>
  </x:cellStyleXfs>
  <x:cellXfs count="165">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1" fillId="0" borderId="0" xfId="0" applyNumberFormat="1" applyFont="1" applyFill="1" applyBorder="1" applyAlignment="1">
      <x:alignment vertical="top"/>
    </x:xf>
    <x:xf numFmtId="0" fontId="1" fillId="0" borderId="1" xfId="0" applyNumberFormat="1" applyFont="1" applyFill="1" applyBorder="1" applyAlignment="1">
      <x:alignment vertical="top"/>
    </x:xf>
    <x:xf numFmtId="0" fontId="1" fillId="2" borderId="0" xfId="0" applyNumberFormat="1" applyFont="1" applyFill="1" applyBorder="1" applyAlignment="1">
      <x:alignment vertical="top"/>
    </x:xf>
    <x:xf numFmtId="0" fontId="1" fillId="2" borderId="1" xfId="0" applyNumberFormat="1" applyFont="1" applyFill="1" applyBorder="1" applyAlignment="1">
      <x:alignment vertical="top"/>
    </x:xf>
    <x:xf numFmtId="0" fontId="2" fillId="2" borderId="0" xfId="0" applyNumberFormat="1" applyFont="1" applyFill="1" applyBorder="1" applyAlignment="1">
      <x:alignment vertical="top"/>
    </x:xf>
    <x:xf numFmtId="0" fontId="2" fillId="2" borderId="1" xfId="0" applyNumberFormat="1" applyFont="1" applyFill="1" applyBorder="1" applyAlignment="1">
      <x:alignment vertical="top"/>
    </x:xf>
    <x:xf numFmtId="0" fontId="2" fillId="2" borderId="2" xfId="0" applyNumberFormat="1" applyFont="1" applyFill="1" applyBorder="1" applyAlignment="1">
      <x:alignment vertical="top"/>
    </x:xf>
    <x:xf numFmtId="0" fontId="2" fillId="2" borderId="3" xfId="0" applyNumberFormat="1" applyFont="1" applyFill="1" applyBorder="1" applyAlignment="1">
      <x:alignment vertical="top"/>
    </x:xf>
    <x:xf numFmtId="0" fontId="2" fillId="2" borderId="4" xfId="0" applyNumberFormat="1" applyFont="1" applyFill="1" applyBorder="1" applyAlignment="1">
      <x:alignment vertical="top"/>
    </x:xf>
    <x:xf numFmtId="0" fontId="2" fillId="2" borderId="5" xfId="0" applyNumberFormat="1" applyFont="1" applyFill="1" applyBorder="1" applyAlignment="1">
      <x:alignment vertical="top"/>
    </x:xf>
    <x:xf numFmtId="0" fontId="2" fillId="2" borderId="6" xfId="0" applyNumberFormat="1" applyFont="1" applyFill="1" applyBorder="1" applyAlignment="1">
      <x:alignment vertical="top"/>
    </x:xf>
    <x:xf numFmtId="0" fontId="2" fillId="2" borderId="7" xfId="0" applyNumberFormat="1" applyFont="1" applyFill="1" applyBorder="1" applyAlignment="1">
      <x:alignment vertical="top"/>
    </x:xf>
    <x:xf numFmtId="0" fontId="2" fillId="2" borderId="2" xfId="0" applyNumberFormat="1" applyFont="1" applyFill="1" applyBorder="1" applyAlignment="1">
      <x:alignment vertical="top" wrapText="1"/>
    </x:xf>
    <x:xf numFmtId="0" fontId="2" fillId="2" borderId="3" xfId="0" applyNumberFormat="1" applyFont="1" applyFill="1" applyBorder="1" applyAlignment="1">
      <x:alignment vertical="top" wrapText="1"/>
    </x:xf>
    <x:xf numFmtId="0" fontId="2" fillId="2" borderId="4" xfId="0" applyNumberFormat="1" applyFont="1" applyFill="1" applyBorder="1" applyAlignment="1">
      <x:alignment vertical="top" wrapText="1"/>
    </x:xf>
    <x:xf numFmtId="0" fontId="2" fillId="2" borderId="5" xfId="0" applyNumberFormat="1" applyFont="1" applyFill="1" applyBorder="1" applyAlignment="1">
      <x:alignment vertical="top" wrapText="1"/>
    </x:xf>
    <x:xf numFmtId="0" fontId="2" fillId="2" borderId="6" xfId="0" applyNumberFormat="1" applyFont="1" applyFill="1" applyBorder="1" applyAlignment="1">
      <x:alignment vertical="top" wrapText="1"/>
    </x:xf>
    <x:xf numFmtId="0" fontId="2" fillId="2" borderId="7" xfId="0" applyNumberFormat="1" applyFont="1" applyFill="1" applyBorder="1" applyAlignment="1">
      <x:alignment vertical="top" wrapText="1"/>
    </x:xf>
    <x:xf numFmtId="0" fontId="2" fillId="2" borderId="2" xfId="0" applyNumberFormat="1" applyFont="1" applyFill="1" applyBorder="1" applyAlignment="1">
      <x:alignment horizontal="center" vertical="top" wrapText="1"/>
    </x:xf>
    <x:xf numFmtId="0" fontId="2" fillId="2" borderId="3" xfId="0" applyNumberFormat="1" applyFont="1" applyFill="1" applyBorder="1" applyAlignment="1">
      <x:alignment horizontal="center" vertical="top" wrapText="1"/>
    </x:xf>
    <x:xf numFmtId="0" fontId="2" fillId="2" borderId="4" xfId="0" applyNumberFormat="1" applyFont="1" applyFill="1" applyBorder="1" applyAlignment="1">
      <x:alignment horizontal="center" vertical="top" wrapText="1"/>
    </x:xf>
    <x:xf numFmtId="0" fontId="2" fillId="2" borderId="5" xfId="0" applyNumberFormat="1" applyFont="1" applyFill="1" applyBorder="1" applyAlignment="1">
      <x:alignment horizontal="center" vertical="top" wrapText="1"/>
    </x:xf>
    <x:xf numFmtId="0" fontId="2" fillId="2" borderId="6" xfId="0" applyNumberFormat="1" applyFont="1" applyFill="1" applyBorder="1" applyAlignment="1">
      <x:alignment horizontal="center" vertical="top" wrapText="1"/>
    </x:xf>
    <x:xf numFmtId="0" fontId="2" fillId="2" borderId="7" xfId="0" applyNumberFormat="1" applyFont="1" applyFill="1" applyBorder="1" applyAlignment="1">
      <x:alignment horizontal="center" vertical="top" wrapText="1"/>
    </x:xf>
    <x:xf numFmtId="0" fontId="2" fillId="2" borderId="2" xfId="0" applyNumberFormat="1" applyFont="1" applyFill="1" applyBorder="1" applyAlignment="1">
      <x:alignment horizontal="center" vertical="center" wrapText="1"/>
    </x:xf>
    <x:xf numFmtId="0" fontId="2" fillId="2" borderId="3" xfId="0" applyNumberFormat="1" applyFont="1" applyFill="1" applyBorder="1" applyAlignment="1">
      <x:alignment horizontal="center" vertical="center" wrapText="1"/>
    </x:xf>
    <x:xf numFmtId="0" fontId="2" fillId="2" borderId="4" xfId="0" applyNumberFormat="1" applyFont="1" applyFill="1" applyBorder="1" applyAlignment="1">
      <x:alignment horizontal="center" vertical="center" wrapText="1"/>
    </x:xf>
    <x:xf numFmtId="0" fontId="2" fillId="2" borderId="5" xfId="0" applyNumberFormat="1" applyFont="1" applyFill="1" applyBorder="1" applyAlignment="1">
      <x:alignment horizontal="center" vertical="center" wrapText="1"/>
    </x:xf>
    <x:xf numFmtId="0" fontId="2" fillId="2" borderId="6" xfId="0" applyNumberFormat="1" applyFont="1" applyFill="1" applyBorder="1" applyAlignment="1">
      <x:alignment horizontal="center" vertical="center" wrapText="1"/>
    </x:xf>
    <x:xf numFmtId="0" fontId="2" fillId="2" borderId="7" xfId="0" applyNumberFormat="1" applyFont="1" applyFill="1" applyBorder="1" applyAlignment="1">
      <x:alignment horizontal="center" vertical="center" wrapText="1"/>
    </x:xf>
    <x:xf numFmtId="0" fontId="1" fillId="0" borderId="0" xfId="0" applyNumberFormat="1" applyFont="1" applyFill="1" applyBorder="1" applyAlignment="1">
      <x:alignment vertical="top" wrapText="1"/>
    </x:xf>
    <x:xf numFmtId="0" fontId="1" fillId="0" borderId="1" xfId="0" applyNumberFormat="1" applyFont="1" applyFill="1" applyBorder="1" applyAlignment="1">
      <x:alignment vertical="top" wrapText="1"/>
    </x:xf>
    <x:xf numFmtId="0" fontId="1" fillId="0" borderId="0" xfId="0" applyNumberFormat="1" applyFont="1" applyFill="1" applyBorder="1" applyAlignment="1">
      <x:alignment horizontal="center" vertical="top"/>
    </x:xf>
    <x:xf numFmtId="0" fontId="1" fillId="0" borderId="1" xfId="0" applyNumberFormat="1" applyFont="1" applyFill="1" applyBorder="1" applyAlignment="1">
      <x:alignment horizontal="center" vertical="top"/>
    </x:xf>
    <x:xf numFmtId="0" fontId="1" fillId="0" borderId="0" xfId="0" applyNumberFormat="1" applyFont="1" applyFill="1" applyBorder="1" applyAlignment="1">
      <x:alignment horizontal="center" vertical="top" wrapText="1"/>
    </x:xf>
    <x:xf numFmtId="0" fontId="1" fillId="0" borderId="1" xfId="0" applyNumberFormat="1" applyFont="1" applyFill="1" applyBorder="1" applyAlignment="1">
      <x:alignment horizontal="center" vertical="top" wrapText="1"/>
    </x:xf>
    <x:xf numFmtId="0" fontId="0" fillId="2" borderId="0" xfId="0" applyNumberFormat="1" applyFont="1" applyFill="1" applyBorder="1"/>
    <x:xf numFmtId="0" fontId="0" fillId="2" borderId="1" xfId="0" applyNumberFormat="1" applyFont="1" applyFill="1" applyBorder="1"/>
    <x:xf numFmtId="0" fontId="3" fillId="2" borderId="0" xfId="0" applyNumberFormat="1" applyFont="1" applyFill="1" applyBorder="1"/>
    <x:xf numFmtId="0" fontId="3" fillId="2" borderId="1" xfId="0" applyNumberFormat="1" applyFont="1" applyFill="1" applyBorder="1"/>
    <x:xf numFmtId="0" fontId="3" fillId="2" borderId="0" xfId="0" applyNumberFormat="1" applyFont="1" applyFill="1" applyBorder="1" applyAlignment="1">
      <x:alignment horizontal="left"/>
    </x:xf>
    <x:xf numFmtId="0" fontId="3" fillId="2" borderId="1" xfId="0" applyNumberFormat="1" applyFont="1" applyFill="1" applyBorder="1" applyAlignment="1">
      <x:alignment horizontal="left"/>
    </x:xf>
    <x:xf numFmtId="0" fontId="3" fillId="2" borderId="0" xfId="0" applyNumberFormat="1" applyFont="1" applyFill="1" applyBorder="1" applyAlignment="1">
      <x:alignment horizontal="left" vertical="center"/>
    </x:xf>
    <x:xf numFmtId="0" fontId="3" fillId="2" borderId="1" xfId="0" applyNumberFormat="1" applyFont="1" applyFill="1" applyBorder="1" applyAlignment="1">
      <x:alignment horizontal="left" vertical="center"/>
    </x:xf>
    <x:xf numFmtId="0" fontId="0" fillId="3" borderId="0" xfId="0" applyNumberFormat="1" applyFont="1" applyFill="1" applyBorder="1"/>
    <x:xf numFmtId="0" fontId="0" fillId="3" borderId="1" xfId="0" applyNumberFormat="1" applyFont="1" applyFill="1" applyBorder="1"/>
    <x:xf numFmtId="0" fontId="4" fillId="3" borderId="0" xfId="0" applyNumberFormat="1" applyFont="1" applyFill="1" applyBorder="1"/>
    <x:xf numFmtId="0" fontId="4" fillId="3" borderId="1" xfId="0" applyNumberFormat="1" applyFont="1" applyFill="1" applyBorder="1"/>
    <x:xf numFmtId="0" fontId="4" fillId="3" borderId="0" xfId="0" applyNumberFormat="1" applyFont="1" applyFill="1" applyBorder="1" applyAlignment="1">
      <x:alignment vertical="center"/>
    </x:xf>
    <x:xf numFmtId="0" fontId="4" fillId="3" borderId="1" xfId="0" applyNumberFormat="1" applyFont="1" applyFill="1" applyBorder="1" applyAlignment="1">
      <x:alignment vertical="center"/>
    </x:xf>
    <x:xf numFmtId="0" fontId="0" fillId="4" borderId="0" xfId="0" applyNumberFormat="1" applyFont="1" applyFill="1" applyBorder="1"/>
    <x:xf numFmtId="0" fontId="0" fillId="4" borderId="1" xfId="0" applyNumberFormat="1" applyFont="1" applyFill="1" applyBorder="1"/>
    <x:xf numFmtId="0" fontId="5" fillId="4" borderId="0" xfId="0" applyNumberFormat="1" applyFont="1" applyFill="1" applyBorder="1"/>
    <x:xf numFmtId="0" fontId="5" fillId="4" borderId="1" xfId="0" applyNumberFormat="1" applyFont="1" applyFill="1" applyBorder="1"/>
    <x:xf numFmtId="0" fontId="5" fillId="4" borderId="8" xfId="0" applyNumberFormat="1" applyFont="1" applyFill="1" applyBorder="1"/>
    <x:xf numFmtId="0" fontId="5" fillId="4" borderId="9" xfId="0" applyNumberFormat="1" applyFont="1" applyFill="1" applyBorder="1"/>
    <x:xf numFmtId="0" fontId="5" fillId="4" borderId="10" xfId="0" applyNumberFormat="1" applyFont="1" applyFill="1" applyBorder="1"/>
    <x:xf numFmtId="0" fontId="5" fillId="4" borderId="11" xfId="0" applyNumberFormat="1" applyFont="1" applyFill="1" applyBorder="1"/>
    <x:xf numFmtId="0" fontId="5" fillId="4" borderId="8" xfId="0" applyNumberFormat="1" applyFont="1" applyFill="1" applyBorder="1" applyAlignment="1">
      <x:alignment horizontal="center"/>
    </x:xf>
    <x:xf numFmtId="0" fontId="5" fillId="4" borderId="9" xfId="0" applyNumberFormat="1" applyFont="1" applyFill="1" applyBorder="1" applyAlignment="1">
      <x:alignment horizontal="center"/>
    </x:xf>
    <x:xf numFmtId="0" fontId="5" fillId="4" borderId="10" xfId="0" applyNumberFormat="1" applyFont="1" applyFill="1" applyBorder="1" applyAlignment="1">
      <x:alignment horizontal="center"/>
    </x:xf>
    <x:xf numFmtId="0" fontId="5" fillId="4" borderId="11" xfId="0" applyNumberFormat="1" applyFont="1" applyFill="1" applyBorder="1" applyAlignment="1">
      <x:alignment horizontal="center"/>
    </x:xf>
    <x:xf numFmtId="0" fontId="5" fillId="4" borderId="8" xfId="0" applyNumberFormat="1" applyFont="1" applyFill="1" applyBorder="1" applyAlignment="1">
      <x:alignment horizontal="center" vertical="center"/>
    </x:xf>
    <x:xf numFmtId="0" fontId="5" fillId="4" borderId="9" xfId="0" applyNumberFormat="1" applyFont="1" applyFill="1" applyBorder="1" applyAlignment="1">
      <x:alignment horizontal="center" vertical="center"/>
    </x:xf>
    <x:xf numFmtId="0" fontId="5" fillId="4" borderId="10" xfId="0" applyNumberFormat="1" applyFont="1" applyFill="1" applyBorder="1" applyAlignment="1">
      <x:alignment horizontal="center" vertical="center"/>
    </x:xf>
    <x:xf numFmtId="0" fontId="5" fillId="4" borderId="11" xfId="0" applyNumberFormat="1" applyFont="1" applyFill="1" applyBorder="1" applyAlignment="1">
      <x:alignment horizontal="center" vertical="center"/>
    </x:xf>
    <x:xf numFmtId="0" fontId="0" fillId="5" borderId="0" xfId="0" applyNumberFormat="1" applyFont="1" applyFill="1" applyBorder="1"/>
    <x:xf numFmtId="0" fontId="0" fillId="5" borderId="1" xfId="0" applyNumberFormat="1" applyFont="1" applyFill="1" applyBorder="1"/>
    <x:xf numFmtId="0" fontId="6" fillId="5" borderId="0" xfId="0" applyNumberFormat="1" applyFont="1" applyFill="1" applyBorder="1"/>
    <x:xf numFmtId="0" fontId="6" fillId="5" borderId="1" xfId="0" applyNumberFormat="1" applyFont="1" applyFill="1" applyBorder="1"/>
    <x:xf numFmtId="0" fontId="6" fillId="5" borderId="8" xfId="0" applyNumberFormat="1" applyFont="1" applyFill="1" applyBorder="1"/>
    <x:xf numFmtId="0" fontId="6" fillId="5" borderId="9" xfId="0" applyNumberFormat="1" applyFont="1" applyFill="1" applyBorder="1"/>
    <x:xf numFmtId="0" fontId="6" fillId="5" borderId="10" xfId="0" applyNumberFormat="1" applyFont="1" applyFill="1" applyBorder="1"/>
    <x:xf numFmtId="0" fontId="6" fillId="5" borderId="11" xfId="0" applyNumberFormat="1" applyFont="1" applyFill="1" applyBorder="1"/>
    <x:xf numFmtId="0" fontId="6" fillId="5" borderId="8" xfId="0" applyNumberFormat="1" applyFont="1" applyFill="1" applyBorder="1" applyAlignment="1">
      <x:alignment horizontal="center"/>
    </x:xf>
    <x:xf numFmtId="0" fontId="6" fillId="5" borderId="9" xfId="0" applyNumberFormat="1" applyFont="1" applyFill="1" applyBorder="1" applyAlignment="1">
      <x:alignment horizontal="center"/>
    </x:xf>
    <x:xf numFmtId="0" fontId="6" fillId="5" borderId="10" xfId="0" applyNumberFormat="1" applyFont="1" applyFill="1" applyBorder="1" applyAlignment="1">
      <x:alignment horizontal="center"/>
    </x:xf>
    <x:xf numFmtId="0" fontId="6" fillId="5" borderId="11" xfId="0" applyNumberFormat="1" applyFont="1" applyFill="1" applyBorder="1" applyAlignment="1">
      <x:alignment horizontal="center"/>
    </x:xf>
    <x:xf numFmtId="0" fontId="6" fillId="5" borderId="8" xfId="0" applyNumberFormat="1" applyFont="1" applyFill="1" applyBorder="1" applyAlignment="1">
      <x:alignment horizontal="center" vertical="center"/>
    </x:xf>
    <x:xf numFmtId="0" fontId="6" fillId="5" borderId="9" xfId="0" applyNumberFormat="1" applyFont="1" applyFill="1" applyBorder="1" applyAlignment="1">
      <x:alignment horizontal="center" vertical="center"/>
    </x:xf>
    <x:xf numFmtId="0" fontId="6" fillId="5" borderId="10" xfId="0" applyNumberFormat="1" applyFont="1" applyFill="1" applyBorder="1" applyAlignment="1">
      <x:alignment horizontal="center" vertical="center"/>
    </x:xf>
    <x:xf numFmtId="0" fontId="6" fillId="5" borderId="11" xfId="0" applyNumberFormat="1" applyFont="1" applyFill="1" applyBorder="1" applyAlignment="1">
      <x:alignment horizontal="center" vertical="center"/>
    </x:xf>
    <x:xf numFmtId="0" fontId="0" fillId="6" borderId="0" xfId="0" applyNumberFormat="1" applyFont="1" applyFill="1" applyBorder="1"/>
    <x:xf numFmtId="0" fontId="0" fillId="6" borderId="1" xfId="0" applyNumberFormat="1" applyFont="1" applyFill="1" applyBorder="1"/>
    <x:xf numFmtId="0" fontId="7" fillId="6" borderId="0" xfId="0" applyNumberFormat="1" applyFont="1" applyFill="1" applyBorder="1"/>
    <x:xf numFmtId="0" fontId="7" fillId="6" borderId="1" xfId="0" applyNumberFormat="1" applyFont="1" applyFill="1" applyBorder="1"/>
    <x:xf numFmtId="0" fontId="7" fillId="6" borderId="12" xfId="0" applyNumberFormat="1" applyFont="1" applyFill="1" applyBorder="1"/>
    <x:xf numFmtId="0" fontId="7" fillId="6" borderId="13" xfId="0" applyNumberFormat="1" applyFont="1" applyFill="1" applyBorder="1"/>
    <x:xf numFmtId="0" fontId="7" fillId="6" borderId="14" xfId="0" applyNumberFormat="1" applyFont="1" applyFill="1" applyBorder="1"/>
    <x:xf numFmtId="0" fontId="7" fillId="6" borderId="15" xfId="0" applyNumberFormat="1" applyFont="1" applyFill="1" applyBorder="1"/>
    <x:xf numFmtId="0" fontId="7" fillId="6" borderId="16" xfId="0" applyNumberFormat="1" applyFont="1" applyFill="1" applyBorder="1"/>
    <x:xf numFmtId="0" fontId="7" fillId="6" borderId="17" xfId="0" applyNumberFormat="1" applyFont="1" applyFill="1" applyBorder="1"/>
    <x:xf numFmtId="0" fontId="7" fillId="6" borderId="12" xfId="0" applyNumberFormat="1" applyFont="1" applyFill="1" applyBorder="1" applyAlignment="1">
      <x:alignment horizontal="center"/>
    </x:xf>
    <x:xf numFmtId="0" fontId="7" fillId="6" borderId="13" xfId="0" applyNumberFormat="1" applyFont="1" applyFill="1" applyBorder="1" applyAlignment="1">
      <x:alignment horizontal="center"/>
    </x:xf>
    <x:xf numFmtId="0" fontId="7" fillId="6" borderId="14" xfId="0" applyNumberFormat="1" applyFont="1" applyFill="1" applyBorder="1" applyAlignment="1">
      <x:alignment horizontal="center"/>
    </x:xf>
    <x:xf numFmtId="0" fontId="7" fillId="6" borderId="15" xfId="0" applyNumberFormat="1" applyFont="1" applyFill="1" applyBorder="1" applyAlignment="1">
      <x:alignment horizontal="center"/>
    </x:xf>
    <x:xf numFmtId="0" fontId="7" fillId="6" borderId="16" xfId="0" applyNumberFormat="1" applyFont="1" applyFill="1" applyBorder="1" applyAlignment="1">
      <x:alignment horizontal="center"/>
    </x:xf>
    <x:xf numFmtId="0" fontId="7" fillId="6" borderId="17" xfId="0" applyNumberFormat="1" applyFont="1" applyFill="1" applyBorder="1" applyAlignment="1">
      <x:alignment horizontal="center"/>
    </x:xf>
    <x:xf numFmtId="0" fontId="7" fillId="6" borderId="12" xfId="0" applyNumberFormat="1" applyFont="1" applyFill="1" applyBorder="1" applyAlignment="1">
      <x:alignment horizontal="center" vertical="center"/>
    </x:xf>
    <x:xf numFmtId="0" fontId="7" fillId="6" borderId="13" xfId="0" applyNumberFormat="1" applyFont="1" applyFill="1" applyBorder="1" applyAlignment="1">
      <x:alignment horizontal="center" vertical="center"/>
    </x:xf>
    <x:xf numFmtId="0" fontId="7" fillId="6" borderId="14" xfId="0" applyNumberFormat="1" applyFont="1" applyFill="1" applyBorder="1" applyAlignment="1">
      <x:alignment horizontal="center" vertical="center"/>
    </x:xf>
    <x:xf numFmtId="0" fontId="7" fillId="6" borderId="15" xfId="0" applyNumberFormat="1" applyFont="1" applyFill="1" applyBorder="1" applyAlignment="1">
      <x:alignment horizontal="center" vertical="center"/>
    </x:xf>
    <x:xf numFmtId="0" fontId="7" fillId="6" borderId="16" xfId="0" applyNumberFormat="1" applyFont="1" applyFill="1" applyBorder="1" applyAlignment="1">
      <x:alignment horizontal="center" vertical="center"/>
    </x:xf>
    <x:xf numFmtId="0" fontId="7" fillId="6" borderId="17" xfId="0" applyNumberFormat="1" applyFont="1" applyFill="1" applyBorder="1" applyAlignment="1">
      <x:alignment horizontal="center" vertical="center"/>
    </x:xf>
    <x:xf numFmtId="0" fontId="8" fillId="0" borderId="0" xfId="0" applyNumberFormat="1" applyFont="1" applyFill="1" applyBorder="1"/>
    <x:xf numFmtId="0" fontId="8" fillId="0" borderId="1" xfId="0" applyNumberFormat="1" applyFont="1" applyFill="1" applyBorder="1"/>
    <x:xf numFmtId="0" fontId="8" fillId="0" borderId="18" xfId="0" applyNumberFormat="1" applyFont="1" applyFill="1" applyBorder="1"/>
    <x:xf numFmtId="0" fontId="8" fillId="0" borderId="19" xfId="0" applyNumberFormat="1" applyFont="1" applyFill="1" applyBorder="1"/>
    <x:xf numFmtId="0" fontId="8" fillId="0" borderId="20" xfId="0" applyNumberFormat="1" applyFont="1" applyFill="1" applyBorder="1"/>
    <x:xf numFmtId="0" fontId="8" fillId="0" borderId="21" xfId="0" applyNumberFormat="1" applyFont="1" applyFill="1" applyBorder="1"/>
    <x:xf numFmtId="0" fontId="8" fillId="0" borderId="22" xfId="0" applyNumberFormat="1" applyFont="1" applyFill="1" applyBorder="1"/>
    <x:xf numFmtId="0" fontId="8" fillId="0" borderId="23" xfId="0" applyNumberFormat="1" applyFont="1" applyFill="1" applyBorder="1"/>
    <x:xf numFmtId="0" fontId="8" fillId="0" borderId="24" xfId="0" applyNumberFormat="1" applyFont="1" applyFill="1" applyBorder="1"/>
    <x:xf numFmtId="0" fontId="8" fillId="0" borderId="25" xfId="0" applyNumberFormat="1" applyFont="1" applyFill="1" applyBorder="1"/>
    <x:xf numFmtId="0" fontId="8" fillId="0" borderId="26" xfId="0" applyNumberFormat="1" applyFont="1" applyFill="1" applyBorder="1"/>
    <x:xf numFmtId="0" fontId="8" fillId="0" borderId="27" xfId="0" applyNumberFormat="1" applyFont="1" applyFill="1" applyBorder="1"/>
    <x:xf numFmtId="0" fontId="8" fillId="0" borderId="28" xfId="0" applyNumberFormat="1" applyFont="1" applyFill="1" applyBorder="1"/>
    <x:xf numFmtId="0" fontId="8" fillId="0" borderId="29" xfId="0" applyNumberFormat="1" applyFont="1" applyFill="1" applyBorder="1"/>
    <x:xf numFmtId="0" fontId="8" fillId="0" borderId="30" xfId="0" applyNumberFormat="1" applyFont="1" applyFill="1" applyBorder="1"/>
    <x:xf numFmtId="0" fontId="8" fillId="0" borderId="31" xfId="0" applyNumberFormat="1" applyFont="1" applyFill="1" applyBorder="1"/>
    <x:xf numFmtId="0" fontId="8" fillId="0" borderId="32" xfId="0" applyNumberFormat="1" applyFont="1" applyFill="1" applyBorder="1"/>
    <x:xf numFmtId="0" fontId="8" fillId="0" borderId="33" xfId="0" applyNumberFormat="1" applyFont="1" applyFill="1" applyBorder="1"/>
    <x:xf numFmtId="0" fontId="8" fillId="0" borderId="34" xfId="0" applyNumberFormat="1" applyFont="1" applyFill="1" applyBorder="1"/>
    <x:xf numFmtId="0" fontId="8" fillId="0" borderId="35" xfId="0" applyNumberFormat="1" applyFont="1" applyFill="1" applyBorder="1"/>
    <x:xf numFmtId="0" fontId="8" fillId="0" borderId="18" xfId="0" applyNumberFormat="1" applyFont="1" applyFill="1" applyBorder="1" applyAlignment="1">
      <x:alignment vertical="center"/>
    </x:xf>
    <x:xf numFmtId="0" fontId="8" fillId="0" borderId="19" xfId="0" applyNumberFormat="1" applyFont="1" applyFill="1" applyBorder="1" applyAlignment="1">
      <x:alignment vertical="center"/>
    </x:xf>
    <x:xf numFmtId="0" fontId="8" fillId="0" borderId="20" xfId="0" applyNumberFormat="1" applyFont="1" applyFill="1" applyBorder="1" applyAlignment="1">
      <x:alignment vertical="center"/>
    </x:xf>
    <x:xf numFmtId="0" fontId="8" fillId="0" borderId="21" xfId="0" applyNumberFormat="1" applyFont="1" applyFill="1" applyBorder="1" applyAlignment="1">
      <x:alignment vertical="center"/>
    </x:xf>
    <x:xf numFmtId="0" fontId="8" fillId="0" borderId="22" xfId="0" applyNumberFormat="1" applyFont="1" applyFill="1" applyBorder="1" applyAlignment="1">
      <x:alignment vertical="center"/>
    </x:xf>
    <x:xf numFmtId="0" fontId="8" fillId="0" borderId="23" xfId="0" applyNumberFormat="1" applyFont="1" applyFill="1" applyBorder="1" applyAlignment="1">
      <x:alignment vertical="center"/>
    </x:xf>
    <x:xf numFmtId="0" fontId="8" fillId="0" borderId="24" xfId="0" applyNumberFormat="1" applyFont="1" applyFill="1" applyBorder="1" applyAlignment="1">
      <x:alignment vertical="center"/>
    </x:xf>
    <x:xf numFmtId="0" fontId="8" fillId="0" borderId="25" xfId="0" applyNumberFormat="1" applyFont="1" applyFill="1" applyBorder="1" applyAlignment="1">
      <x:alignment vertical="center"/>
    </x:xf>
    <x:xf numFmtId="0" fontId="8" fillId="0" borderId="26" xfId="0" applyNumberFormat="1" applyFont="1" applyFill="1" applyBorder="1" applyAlignment="1">
      <x:alignment vertical="center"/>
    </x:xf>
    <x:xf numFmtId="0" fontId="8" fillId="0" borderId="27" xfId="0" applyNumberFormat="1" applyFont="1" applyFill="1" applyBorder="1" applyAlignment="1">
      <x:alignment vertical="center"/>
    </x:xf>
    <x:xf numFmtId="0" fontId="8" fillId="0" borderId="28" xfId="0" applyNumberFormat="1" applyFont="1" applyFill="1" applyBorder="1" applyAlignment="1">
      <x:alignment vertical="center"/>
    </x:xf>
    <x:xf numFmtId="0" fontId="8" fillId="0" borderId="29" xfId="0" applyNumberFormat="1" applyFont="1" applyFill="1" applyBorder="1" applyAlignment="1">
      <x:alignment vertical="center"/>
    </x:xf>
    <x:xf numFmtId="0" fontId="8" fillId="0" borderId="30" xfId="0" applyNumberFormat="1" applyFont="1" applyFill="1" applyBorder="1" applyAlignment="1">
      <x:alignment vertical="center"/>
    </x:xf>
    <x:xf numFmtId="0" fontId="8" fillId="0" borderId="31" xfId="0" applyNumberFormat="1" applyFont="1" applyFill="1" applyBorder="1" applyAlignment="1">
      <x:alignment vertical="center"/>
    </x:xf>
    <x:xf numFmtId="0" fontId="8" fillId="0" borderId="32" xfId="0" applyNumberFormat="1" applyFont="1" applyFill="1" applyBorder="1" applyAlignment="1">
      <x:alignment vertical="center"/>
    </x:xf>
    <x:xf numFmtId="0" fontId="8" fillId="0" borderId="33" xfId="0" applyNumberFormat="1" applyFont="1" applyFill="1" applyBorder="1" applyAlignment="1">
      <x:alignment vertical="center"/>
    </x:xf>
    <x:xf numFmtId="0" fontId="8" fillId="0" borderId="34" xfId="0" applyNumberFormat="1" applyFont="1" applyFill="1" applyBorder="1" applyAlignment="1">
      <x:alignment vertical="center"/>
    </x:xf>
    <x:xf numFmtId="0" fontId="8" fillId="0" borderId="35" xfId="0" applyNumberFormat="1" applyFont="1" applyFill="1" applyBorder="1" applyAlignment="1">
      <x:alignment vertical="center"/>
    </x:xf>
    <x:xf numFmtId="0" fontId="8" fillId="0" borderId="18" xfId="0" applyNumberFormat="1" applyFont="1" applyFill="1" applyBorder="1" applyAlignment="1">
      <x:alignment horizontal="center" vertical="center"/>
    </x:xf>
    <x:xf numFmtId="0" fontId="8" fillId="0" borderId="19" xfId="0" applyNumberFormat="1" applyFont="1" applyFill="1" applyBorder="1" applyAlignment="1">
      <x:alignment horizontal="center" vertical="center"/>
    </x:xf>
    <x:xf numFmtId="0" fontId="8" fillId="0" borderId="20" xfId="0" applyNumberFormat="1" applyFont="1" applyFill="1" applyBorder="1" applyAlignment="1">
      <x:alignment horizontal="center" vertical="center"/>
    </x:xf>
    <x:xf numFmtId="0" fontId="8" fillId="0" borderId="21" xfId="0" applyNumberFormat="1" applyFont="1" applyFill="1" applyBorder="1" applyAlignment="1">
      <x:alignment horizontal="center" vertical="center"/>
    </x:xf>
    <x:xf numFmtId="0" fontId="8" fillId="0" borderId="22" xfId="0" applyNumberFormat="1" applyFont="1" applyFill="1" applyBorder="1" applyAlignment="1">
      <x:alignment horizontal="center" vertical="center"/>
    </x:xf>
    <x:xf numFmtId="0" fontId="8" fillId="0" borderId="23" xfId="0" applyNumberFormat="1" applyFont="1" applyFill="1" applyBorder="1" applyAlignment="1">
      <x:alignment horizontal="center" vertical="center"/>
    </x:xf>
    <x:xf numFmtId="0" fontId="8" fillId="0" borderId="24" xfId="0" applyNumberFormat="1" applyFont="1" applyFill="1" applyBorder="1" applyAlignment="1">
      <x:alignment horizontal="center" vertical="center"/>
    </x:xf>
    <x:xf numFmtId="0" fontId="8" fillId="0" borderId="25" xfId="0" applyNumberFormat="1" applyFont="1" applyFill="1" applyBorder="1" applyAlignment="1">
      <x:alignment horizontal="center" vertical="center"/>
    </x:xf>
    <x:xf numFmtId="0" fontId="8" fillId="0" borderId="26" xfId="0" applyNumberFormat="1" applyFont="1" applyFill="1" applyBorder="1" applyAlignment="1">
      <x:alignment horizontal="center" vertical="center"/>
    </x:xf>
    <x:xf numFmtId="0" fontId="8" fillId="0" borderId="27" xfId="0" applyNumberFormat="1" applyFont="1" applyFill="1" applyBorder="1" applyAlignment="1">
      <x:alignment horizontal="center" vertical="center"/>
    </x:xf>
    <x:xf numFmtId="0" fontId="8" fillId="0" borderId="28" xfId="0" applyNumberFormat="1" applyFont="1" applyFill="1" applyBorder="1" applyAlignment="1">
      <x:alignment horizontal="center" vertical="center"/>
    </x:xf>
    <x:xf numFmtId="0" fontId="8" fillId="0" borderId="29" xfId="0" applyNumberFormat="1" applyFont="1" applyFill="1" applyBorder="1" applyAlignment="1">
      <x:alignment horizontal="center" vertical="center"/>
    </x:xf>
    <x:xf numFmtId="0" fontId="8" fillId="0" borderId="30" xfId="0" applyNumberFormat="1" applyFont="1" applyFill="1" applyBorder="1" applyAlignment="1">
      <x:alignment horizontal="center" vertical="center"/>
    </x:xf>
    <x:xf numFmtId="0" fontId="8" fillId="0" borderId="31" xfId="0" applyNumberFormat="1" applyFont="1" applyFill="1" applyBorder="1" applyAlignment="1">
      <x:alignment horizontal="center" vertical="center"/>
    </x:xf>
    <x:xf numFmtId="0" fontId="8" fillId="0" borderId="32" xfId="0" applyNumberFormat="1" applyFont="1" applyFill="1" applyBorder="1" applyAlignment="1">
      <x:alignment horizontal="center" vertical="center"/>
    </x:xf>
    <x:xf numFmtId="0" fontId="8" fillId="0" borderId="33" xfId="0" applyNumberFormat="1" applyFont="1" applyFill="1" applyBorder="1" applyAlignment="1">
      <x:alignment horizontal="center" vertical="center"/>
    </x:xf>
    <x:xf numFmtId="0" fontId="8" fillId="0" borderId="34" xfId="0" applyNumberFormat="1" applyFont="1" applyFill="1" applyBorder="1" applyAlignment="1">
      <x:alignment horizontal="center" vertical="center"/>
    </x:xf>
    <x:xf numFmtId="0" fontId="8" fillId="0" borderId="35" xfId="0" applyNumberFormat="1" applyFont="1" applyFill="1" applyBorder="1" applyAlignment="1">
      <x:alignment horizontal="center" vertical="center"/>
    </x:xf>
    <x:xf numFmtId="0" fontId="0" fillId="0" borderId="0" xfId="0" applyNumberFormat="1" applyFont="1" applyFill="1" applyBorder="1" applyAlignment="1">
      <x:alignment horizontal="center"/>
    </x:xf>
  </x:cellXfs>
  <x:cellStyles count="1">
    <x:cellStyle name="Normal" xfId="0"/>
  </x:cellStyles>
  <x:dxfs count="2">
    <x:dxf>
      <x:font>
        <x:b/>
        <x:color rgb="FF1D4ED8"/>
      </x:font>
      <x:fill>
        <x:patternFill patternType="solid">
          <x:bgColor rgb="FFDBEAFE"/>
        </x:patternFill>
      </x:fill>
    </x:dxf>
    <x:dxf>
      <x:font>
        <x:b/>
        <x:color rgb="FF92400E"/>
      </x:font>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8fce0c827a7449b" /><Relationship Type="http://schemas.openxmlformats.org/officeDocument/2006/relationships/theme" Target="/xl/theme/theme1.xml" Id="Rda6347fb913844ce" /><Relationship Type="http://schemas.openxmlformats.org/officeDocument/2006/relationships/sharedStrings" Target="/xl/sharedStrings.xml" Id="Rcb2eca0898254c26" /><Relationship Type="http://schemas.openxmlformats.org/officeDocument/2006/relationships/worksheet" Target="/xl/worksheets/sheet1.xml" Id="R6f61bc006e2a47b5" /><Relationship Type="http://schemas.openxmlformats.org/officeDocument/2006/relationships/worksheet" Target="/xl/worksheets/sheet2.xml" Id="R04990d053b9746d3" /></Relationships>
</file>

<file path=xl/tables/table1.xml><?xml version="1.0" encoding="utf-8"?>
<x:table xmlns:x="http://schemas.openxmlformats.org/spreadsheetml/2006/main" id="1" name="CanonicalPapersTable" displayName="CanonicalPapersTable" ref="A1:Q283" headerRowCount="1" totalsRowCount="0" totalsRowShown="0">
  <x:autoFilter ref="A1:Q283"/>
  <x:tableColumns count="17">
    <x:tableColumn id="1" name="Title"/>
    <x:tableColumn id="2" name="Authors"/>
    <x:tableColumn id="3" name="Method"/>
    <x:tableColumn id="4" name="Method family"/>
    <x:tableColumn id="5" name="Pretraining datasets"/>
    <x:tableColumn id="6" name="Evaluation datasets"/>
    <x:tableColumn id="7" name="All datasets"/>
    <x:tableColumn id="8" name="Year"/>
    <x:tableColumn id="9" name="Venue"/>
    <x:tableColumn id="10" name="Is NeurIPS"/>
    <x:tableColumn id="11" name="Publication status"/>
    <x:tableColumn id="12" name="DOI"/>
    <x:tableColumn id="13" name="arXiv ID"/>
    <x:tableColumn id="14" name="Paper URL"/>
    <x:tableColumn id="15" name="Code URL"/>
    <x:tableColumn id="16" name="Dataset notes"/>
    <x:tableColumn id="17" name="Verified as of"/>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4495eb97a664188" /></Relationships>
</file>

<file path=xl/worksheets/sheet1.xml><?xml version="1.0" encoding="utf-8"?>
<x:worksheet xmlns:x="http://schemas.openxmlformats.org/spreadsheetml/2006/main">
  <x:sheetViews>
    <x:sheetView showGridLines="0" workbookViewId="0"/>
  </x:sheetViews>
  <x:sheetFormatPr defaultRowHeight="15"/>
  <x:cols>
    <x:col min="1" max="1" width="42" hidden="0" customWidth="1"/>
    <x:col min="2" max="2" width="34" hidden="0" customWidth="1"/>
    <x:col min="3" max="3" width="30" hidden="0" customWidth="1"/>
    <x:col min="4" max="4" width="24" hidden="0" customWidth="1"/>
    <x:col min="5" max="5" width="34" hidden="0" customWidth="1"/>
    <x:col min="6" max="6" width="34" hidden="0" customWidth="1"/>
    <x:col min="7" max="7" width="34" hidden="0" customWidth="1"/>
    <x:col min="8" max="8" width="10" hidden="0" customWidth="1"/>
    <x:col min="9" max="9" width="24" hidden="0" customWidth="1"/>
    <x:col min="10" max="10" width="12" hidden="0" customWidth="1"/>
    <x:col min="11" max="11" width="17" hidden="0" customWidth="1"/>
    <x:col min="12" max="12" width="23" hidden="0" customWidth="1"/>
    <x:col min="13" max="13" width="16" hidden="0" customWidth="1"/>
    <x:col min="14" max="14" width="38" hidden="0" customWidth="1"/>
    <x:col min="15" max="15" width="35" hidden="0" customWidth="1"/>
    <x:col min="16" max="16" width="46" hidden="0" customWidth="1"/>
    <x:col min="17" max="17" width="15" hidden="0" customWidth="1"/>
  </x:cols>
  <x:sheetData>
    <x:row r="1" ht="34" customHeight="1">
      <x:c r="A1" s="28" t="str">
        <x:v>Title</x:v>
      </x:c>
      <x:c r="B1" s="29" t="str">
        <x:v>Authors</x:v>
      </x:c>
      <x:c r="C1" s="29" t="str">
        <x:v>Method</x:v>
      </x:c>
      <x:c r="D1" s="29" t="str">
        <x:v>Method family</x:v>
      </x:c>
      <x:c r="E1" s="29" t="str">
        <x:v>Pretraining datasets</x:v>
      </x:c>
      <x:c r="F1" s="29" t="str">
        <x:v>Evaluation datasets</x:v>
      </x:c>
      <x:c r="G1" s="29" t="str">
        <x:v>All datasets</x:v>
      </x:c>
      <x:c r="H1" s="29" t="str">
        <x:v>Year</x:v>
      </x:c>
      <x:c r="I1" s="29" t="str">
        <x:v>Venue</x:v>
      </x:c>
      <x:c r="J1" s="29" t="str">
        <x:v>Is NeurIPS</x:v>
      </x:c>
      <x:c r="K1" s="29" t="str">
        <x:v>Publication status</x:v>
      </x:c>
      <x:c r="L1" s="29" t="str">
        <x:v>DOI</x:v>
      </x:c>
      <x:c r="M1" s="29" t="str">
        <x:v>arXiv ID</x:v>
      </x:c>
      <x:c r="N1" s="29" t="str">
        <x:v>Paper URL</x:v>
      </x:c>
      <x:c r="O1" s="29" t="str">
        <x:v>Code URL</x:v>
      </x:c>
      <x:c r="P1" s="29" t="str">
        <x:v>Dataset notes</x:v>
      </x:c>
      <x:c r="Q1" s="30" t="str">
        <x:v>Verified as of</x:v>
      </x:c>
    </x:row>
    <x:row r="2" ht="44" customHeight="1">
      <x:c r="A2" s="34" t="str">
        <x:v>Beyond reconstruction: Enhancing masked autoencoders with contrastive learning for video representation learning</x:v>
      </x:c>
      <x:c r="B2" s="34" t="str">
        <x:v>Yawei Feng, Lijun Guo, Guitao Yu, Rong Zhang, Jiangbo Qian, Chong Wang, Shangce Gao</x:v>
      </x:c>
      <x:c r="C2" s="34" t="str">
        <x:v>Beyond Reconstruction (BR)</x:v>
      </x:c>
      <x:c r="D2" s="34" t="str">
        <x:v>Other / Hybrid</x:v>
      </x:c>
      <x:c r="E2" s="34" t="str">
        <x:v>Kinetics-400; Something-Something V2</x:v>
      </x:c>
      <x:c r="F2" s="34" t="str">
        <x:v>Kinetics-400; Something-Something V2</x:v>
      </x:c>
      <x:c r="G2" s="34" t="str">
        <x:v>Kinetics-400; Something-Something V2</x:v>
      </x:c>
      <x:c r="H2" s="36" t="str">
        <x:v>2026</x:v>
      </x:c>
      <x:c r="I2" s="34" t="str">
        <x:v>Engineering Applications of Artificial Intelligence, volume 171, article 114283 (2026)</x:v>
      </x:c>
      <x:c r="J2" s="38" t="str">
        <x:v>No</x:v>
      </x:c>
      <x:c r="K2" s="38" t="str">
        <x:v>peer_reviewed</x:v>
      </x:c>
      <x:c r="L2" s="34" t="str">
        <x:v>10.1016/j.engappai.2026.114283</x:v>
      </x:c>
      <x:c r="M2" s="34" t="str"/>
      <x:c r="N2" s="34" t="str">
        <x:v>https://doi.org/10.1016/j.engappai.2026.114283</x:v>
      </x:c>
      <x:c r="O2" s="34" t="str"/>
      <x:c r="P2" s="34" t="str">
        <x:v>Accessible implementation metadata explicitly names Kinetics-400 and Something-Something V2. The publisher abstract also reports video object segmentation but does not expose the segmentation dataset name, so no dataset was guessed.</x:v>
      </x:c>
      <x:c r="Q2" s="38" t="str">
        <x:v>2026-08-11</x:v>
      </x:c>
    </x:row>
    <x:row r="3" ht="44" customHeight="1">
      <x:c r="A3" s="34" t="str">
        <x:v>BIMM: Brain Inspired Masked Modeling for Video Representation Learning</x:v>
      </x:c>
      <x:c r="B3" s="34" t="str">
        <x:v>Zhifan Wan, Jie Zhang, Changzhen Li, Shiguang Shan</x:v>
      </x:c>
      <x:c r="C3" s="34" t="str">
        <x:v>BIMM</x:v>
      </x:c>
      <x:c r="D3" s="34" t="str">
        <x:v>Generative / Masked</x:v>
      </x:c>
      <x:c r="E3" s="34" t="str">
        <x:v>ImageNet-1K; Kinetics-400; Something-Something V2; UCF101</x:v>
      </x:c>
      <x:c r="F3" s="34" t="str">
        <x:v>ImageNet-1K; Kinetics-400; Something-Something V2; UCF101; HMDB51; AVA v2.2; COCO; ADE20K</x:v>
      </x:c>
      <x:c r="G3" s="34" t="str">
        <x:v>ImageNet-1K; Kinetics-400; Something-Something V2; UCF101; HMDB51; AVA v2.2; COCO; ADE20K</x:v>
      </x:c>
      <x:c r="H3" s="36" t="str">
        <x:v>2026</x:v>
      </x:c>
      <x:c r="I3" s="34" t="str">
        <x:v>IEEE Transactions on Circuits and Systems for Video Technology 2026</x:v>
      </x:c>
      <x:c r="J3" s="38" t="str">
        <x:v>No</x:v>
      </x:c>
      <x:c r="K3" s="38" t="str">
        <x:v>peer_reviewed</x:v>
      </x:c>
      <x:c r="L3" s="34" t="str">
        <x:v>10.1109/TCSVT.2026.3683701</x:v>
      </x:c>
      <x:c r="M3" s="34" t="str">
        <x:v>2405.12757</x:v>
      </x:c>
      <x:c r="N3" s="34" t="str">
        <x:v>https://ieeexplore.ieee.org/document/11481118/</x:v>
      </x:c>
      <x:c r="O3" s="34" t="str"/>
      <x:c r="P3" s="34" t="str"/>
      <x:c r="Q3" s="38" t="str">
        <x:v>2026-08-11</x:v>
      </x:c>
    </x:row>
    <x:row r="4" ht="44" customHeight="1">
      <x:c r="A4" s="34" t="str">
        <x:v>Depth-Wise Representation Development Under Blockwise Self-Supervised Learning for Video Vision Transformers</x:v>
      </x:c>
      <x:c r="B4" s="34" t="str">
        <x:v>Jonas Römer, Timo Dickscheid</x:v>
      </x:c>
      <x:c r="C4" s="34" t="str">
        <x:v>Blockwise SSL VideoMAE (BWSSL)</x:v>
      </x:c>
      <x:c r="D4" s="34" t="str">
        <x:v>Generative / Masked</x:v>
      </x:c>
      <x:c r="E4" s="34" t="str">
        <x:v>UCF101</x:v>
      </x:c>
      <x:c r="F4" s="34" t="str">
        <x:v>UCF101; Synthetic drifting-grating probes</x:v>
      </x:c>
      <x:c r="G4" s="34" t="str">
        <x:v>UCF101; Synthetic drifting-grating probes</x:v>
      </x:c>
      <x:c r="H4" s="36" t="str">
        <x:v>2026</x:v>
      </x:c>
      <x:c r="I4" s="34" t="str">
        <x:v>arXiv preprint</x:v>
      </x:c>
      <x:c r="J4" s="38" t="str">
        <x:v>No</x:v>
      </x:c>
      <x:c r="K4" s="38" t="str">
        <x:v>preprint</x:v>
      </x:c>
      <x:c r="L4" s="34" t="str"/>
      <x:c r="M4" s="34" t="str">
        <x:v>2601.09040</x:v>
      </x:c>
      <x:c r="N4" s="34" t="str">
        <x:v>https://arxiv.org/abs/2601.09040</x:v>
      </x:c>
      <x:c r="O4" s="34" t="str">
        <x:v>https://github.com/JosRor/BWSSL-for-Video-ViTs</x:v>
      </x:c>
      <x:c r="P4" s="34" t="str">
        <x:v>UCF101 is used for pretraining and downstream probing. Synthetic drifting-grating clips are generated by the study and are not a named external dataset.</x:v>
      </x:c>
      <x:c r="Q4" s="38" t="str">
        <x:v>2026-08-11</x:v>
      </x:c>
    </x:row>
    <x:row r="5" ht="44" customHeight="1">
      <x:c r="A5" s="34" t="str">
        <x:v>Dual Perspectives on Non-Contrastive Self-Supervised Learning</x:v>
      </x:c>
      <x:c r="B5" s="34" t="str">
        <x:v>Jean Ponce, Martial Hebert, Basile Terver ;</x:v>
      </x:c>
      <x:c r="C5" s="34" t="str">
        <x:v>Dual-Perspective Non-Contrastive SSL Analysis</x:v>
      </x:c>
      <x:c r="D5" s="34" t="str">
        <x:v>Contrastive</x:v>
      </x:c>
      <x:c r="E5" s="34" t="str">
        <x:v>Kinetics-710; Something-Something V2; Synthetic linear data</x:v>
      </x:c>
      <x:c r="F5" s="34" t="str">
        <x:v>Kinetics-400; Something-Something V2; Synthetic linear data</x:v>
      </x:c>
      <x:c r="G5" s="34" t="str">
        <x:v>Kinetics-710; Something-Something V2; Synthetic linear data; Kinetics-400</x:v>
      </x:c>
      <x:c r="H5" s="36" t="str">
        <x:v>2026</x:v>
      </x:c>
      <x:c r="I5" s="34" t="str">
        <x:v>ICLR 2026</x:v>
      </x:c>
      <x:c r="J5" s="38" t="str">
        <x:v>No</x:v>
      </x:c>
      <x:c r="K5" s="38" t="str">
        <x:v>peer_reviewed</x:v>
      </x:c>
      <x:c r="L5" s="34" t="str"/>
      <x:c r="M5" s="34" t="str">
        <x:v>2507.01028</x:v>
      </x:c>
      <x:c r="N5" s="34" t="str">
        <x:v>https://openreview.net/forum?id=f5MC1G6XhB</x:v>
      </x:c>
      <x:c r="O5" s="34" t="str"/>
      <x:c r="P5" s="34" t="str"/>
      <x:c r="Q5" s="38" t="str">
        <x:v>2026-08-11</x:v>
      </x:c>
    </x:row>
    <x:row r="6" ht="44" customHeight="1">
      <x:c r="A6" s="34" t="str">
        <x:v>Factorized Latent Dynamics for Video JEPA: An Empirical Study of Auxiliary Objectives</x:v>
      </x:c>
      <x:c r="B6" s="34" t="str">
        <x:v>Santosh Premi</x:v>
      </x:c>
      <x:c r="C6" s="34" t="str">
        <x:v>FWM-HW-LD</x:v>
      </x:c>
      <x:c r="D6" s="34" t="str">
        <x:v>Pretext / Predictive</x:v>
      </x:c>
      <x:c r="E6" s="34" t="str">
        <x:v>UCF101; Something-Something V2; ImageNet-100</x:v>
      </x:c>
      <x:c r="F6" s="34" t="str">
        <x:v>Diving48; Something-Something V2; ImageNet-100</x:v>
      </x:c>
      <x:c r="G6" s="34" t="str">
        <x:v>UCF101; Something-Something V2; ImageNet-100; Diving48</x:v>
      </x:c>
      <x:c r="H6" s="36" t="str">
        <x:v>2026</x:v>
      </x:c>
      <x:c r="I6" s="34" t="str">
        <x:v>arXiv preprint</x:v>
      </x:c>
      <x:c r="J6" s="38" t="str">
        <x:v>No</x:v>
      </x:c>
      <x:c r="K6" s="38" t="str">
        <x:v>preprint</x:v>
      </x:c>
      <x:c r="L6" s="34" t="str"/>
      <x:c r="M6" s="34" t="str">
        <x:v>2605.17165</x:v>
      </x:c>
      <x:c r="N6" s="34" t="str">
        <x:v>https://arxiv.org/abs/2605.17165</x:v>
      </x:c>
      <x:c r="O6" s="34" t="str">
        <x:v>https://github.com/santoshpremi/Factorized-Latent-Dynamics-for-Video-JEPA-An-Empirical-Study-of-Auxiliary-Objectives</x:v>
      </x:c>
      <x:c r="P6" s="34" t="str">
        <x:v>The paper compares a UCF101-only pretraining regime with a mixed UCF101, Something-Something V2, and ImageNet-100 regime. Frozen evaluation uses Diving48, Something-Something V2, and ImageNet-100.</x:v>
      </x:c>
      <x:c r="Q6" s="38" t="str">
        <x:v>2026-08-11</x:v>
      </x:c>
    </x:row>
    <x:row r="7" ht="44" customHeight="1">
      <x:c r="A7" s="34" t="str">
        <x:v>From Static to Dynamic: Exploring Self-supervised Image-to-Video Representation Transfer Learning</x:v>
      </x:c>
      <x:c r="B7" s="34" t="str">
        <x:v>Yang Liu, Qianqian Xu, Peisong Wen, Siran Dai, Xilin Zhao, Qingming Huang</x:v>
      </x:c>
      <x:c r="C7" s="34" t="str">
        <x:v>Co-Settle</x:v>
      </x:c>
      <x:c r="D7" s="34" t="str">
        <x:v>Pretext / Predictive</x:v>
      </x:c>
      <x:c r="E7" s="34" t="str">
        <x:v>Kinetics-400</x:v>
      </x:c>
      <x:c r="F7" s="34" t="str">
        <x:v>VIP; DAVIS 2017; JHMDB; Breakfast; UCF101; HMDB51; Something-Something V2; Chiral Something-Something V2; BADJA; TAP-DAVIS; Kinetics-400</x:v>
      </x:c>
      <x:c r="G7" s="34" t="str">
        <x:v>Kinetics-400; ImageNet-1K; WIT-400M; LAION-400M; VIP; DAVIS 2017; JHMDB; Breakfast; UCF101; HMDB51; Something-Something V2; Chiral Something-Something V2; BADJA; TAP-DAVIS</x:v>
      </x:c>
      <x:c r="H7" s="36" t="str">
        <x:v>2026</x:v>
      </x:c>
      <x:c r="I7" s="34" t="str">
        <x:v>CVPR 2026</x:v>
      </x:c>
      <x:c r="J7" s="38" t="str">
        <x:v>No</x:v>
      </x:c>
      <x:c r="K7" s="38" t="str">
        <x:v>peer_reviewed</x:v>
      </x:c>
      <x:c r="L7" s="34" t="str"/>
      <x:c r="M7" s="34" t="str">
        <x:v>2603.26597</x:v>
      </x:c>
      <x:c r="N7" s="34" t="str">
        <x:v>https://openaccess.thecvf.com/content/CVPR2026/html/Liu_From_Static_to_Dynamic_Exploring_Self-supervised_Image-to-Video_Representation_Transfer_Learning_CVPR_2026_paper.html</x:v>
      </x:c>
      <x:c r="O7" s="34" t="str">
        <x:v>https://github.com/yafeng19/Co-Settle</x:v>
      </x:c>
      <x:c r="P7" s="34" t="str">
        <x:v>Co-Settle is trained for five epochs on Kinetics-400. ImageNet-1K, WIT-400M, and LAION-400M are sources for the evaluated frozen image backbones. The original catalog's UCF101 and HMDB51-only annotation was incomplete.</x:v>
      </x:c>
      <x:c r="Q7" s="38" t="str">
        <x:v>2026-08-11</x:v>
      </x:c>
    </x:row>
    <x:row r="8" ht="44" customHeight="1">
      <x:c r="A8" s="34" t="str">
        <x:v>OneVision-Encoder: Codec-Aligned Sparsity as a Foundational Principle for Multimodal Intelligence</x:v>
      </x:c>
      <x:c r="B8" s="34" t="str">
        <x:v>Feilong Tang, Xiang An, Yunyao Yan, Yin Xie, Bin Qin, Kaicheng Yang, Yifei Shen, Yuanhan Zhang, Chunyuan Li, Shikun Feng, Changrui Chen, Huajie Tan, Ming Hu, Manyuan Zhang, Bo Li, Ziyong Feng, Ziwei Liu, Zongyuan Ge, Jiankang Deng</x:v>
      </x:c>
      <x:c r="C8" s="34" t="str">
        <x:v>OneVision-Encoder (OV-Encoder)</x:v>
      </x:c>
      <x:c r="D8" s="34" t="str">
        <x:v>Contrastive</x:v>
      </x:c>
      <x:c r="E8" s="34" t="str">
        <x:v>LAION-400M; COYO-700M; OBELICS; Zero250M; ImageNet-21K; HowTo100M; Panda-70M; Kinetics-710; Something-Something V2</x:v>
      </x:c>
      <x:c r="F8" s="34" t="str">
        <x:v>Something-Something V2; Diving48; Perception Test; Charades-Ego; EPIC-KITCHENS-100; Kinetics-400; HMDB51</x:v>
      </x:c>
      <x:c r="G8" s="34" t="str">
        <x:v>LAION-400M; COYO-700M; OBELICS; Zero250M; ImageNet-21K; HowTo100M; Panda-70M; Kinetics-710; Something-Something V2; Diving48; Perception Test; Charades-Ego; EPIC-KITCHENS-100; Kinetics-400; HMDB51</x:v>
      </x:c>
      <x:c r="H8" s="36" t="str">
        <x:v>2026</x:v>
      </x:c>
      <x:c r="I8" s="34" t="str">
        <x:v>arXiv preprint</x:v>
      </x:c>
      <x:c r="J8" s="38" t="str">
        <x:v>No</x:v>
      </x:c>
      <x:c r="K8" s="38" t="str">
        <x:v>preprint</x:v>
      </x:c>
      <x:c r="L8" s="34" t="str"/>
      <x:c r="M8" s="34" t="str">
        <x:v>2602.08683</x:v>
      </x:c>
      <x:c r="N8" s="34" t="str">
        <x:v>https://arxiv.org/abs/2602.08683</x:v>
      </x:c>
      <x:c r="O8" s="34" t="str">
        <x:v>https://github.com/EvolvingLMMs-Lab/OneVision-Encoder</x:v>
      </x:c>
      <x:c r="P8" s="34" t="str">
        <x:v>The dataset list covers the full pretraining corpus and the paper's seven attentive-probing video representation benchmarks. General multimodal LMM benchmark tables are outside this VideoSSL catalog field.</x:v>
      </x:c>
      <x:c r="Q8" s="38" t="str">
        <x:v>2026-08-11</x:v>
      </x:c>
    </x:row>
    <x:row r="9" ht="44" customHeight="1">
      <x:c r="A9" s="34" t="str">
        <x:v>Progressive Mask Distillation for Self-supervised Video Representation</x:v>
      </x:c>
      <x:c r="B9" s="34" t="str">
        <x:v>Kewei Wu, Chong Liang, Zhao Xie, Dan Guo</x:v>
      </x:c>
      <x:c r="C9" s="34" t="str">
        <x:v>Progressive Mask Distillation (PMD)</x:v>
      </x:c>
      <x:c r="D9" s="34" t="str">
        <x:v>Generative / Masked</x:v>
      </x:c>
      <x:c r="E9" s="34" t="str">
        <x:v>Kinetics-400; ImageNet-1K</x:v>
      </x:c>
      <x:c r="F9" s="34" t="str">
        <x:v>Something-Something V2; Kinetics-400; UCF101; HMDB51</x:v>
      </x:c>
      <x:c r="G9" s="34" t="str">
        <x:v>Kinetics-400; ImageNet-1K; Something-Something V2; UCF101; HMDB51</x:v>
      </x:c>
      <x:c r="H9" s="36" t="str">
        <x:v>2026</x:v>
      </x:c>
      <x:c r="I9" s="34" t="str">
        <x:v>CVPR 2026</x:v>
      </x:c>
      <x:c r="J9" s="38" t="str">
        <x:v>No</x:v>
      </x:c>
      <x:c r="K9" s="38" t="str">
        <x:v>peer_reviewed</x:v>
      </x:c>
      <x:c r="L9" s="34" t="str"/>
      <x:c r="M9" s="34" t="str"/>
      <x:c r="N9" s="34" t="str">
        <x:v>https://openaccess.thecvf.com/content/CVPR2026/html/Wu_Progressive_Mask_Distillation_for_Self-supervised_Video_Representation_CVPR_2026_paper.html</x:v>
      </x:c>
      <x:c r="O9" s="34" t="str"/>
      <x:c r="P9" s="34" t="str">
        <x:v>The student and video teacher are pretrained on Kinetics-400; the image teacher is pretrained on ImageNet-1K. The four named downstream datasets are evaluated by fine-tuning.</x:v>
      </x:c>
      <x:c r="Q9" s="38" t="str">
        <x:v>2026-08-11</x:v>
      </x:c>
    </x:row>
    <x:row r="10" ht="44" customHeight="1">
      <x:c r="A10" s="34" t="str">
        <x:v>Recurrent Video Masked Autoencoders</x:v>
      </x:c>
      <x:c r="B10" s="34" t="str">
        <x:v>Daniel Zoran, Nikhil Parthasarathy, Yi Yang, Drew A. Hudson, Joao Carreira, Andrew Zisserman</x:v>
      </x:c>
      <x:c r="C10" s="34" t="str">
        <x:v>Recurrent Video Masked Autoencoder (RVM)</x:v>
      </x:c>
      <x:c r="D10" s="34" t="str">
        <x:v>Generative / Masked</x:v>
      </x:c>
      <x:c r="E10" s="34" t="str">
        <x:v>HowTo100M; Kinetics-700; Something-Something V2; YouTube-BoundingBoxes; YouTube-8M</x:v>
      </x:c>
      <x:c r="F10" s="34" t="str">
        <x:v>Something-Something V2; Kinetics-700; Waymo Open; Perception Test; ScanNet; DAVIS 2017; JHMDB; VIP</x:v>
      </x:c>
      <x:c r="G10" s="34" t="str">
        <x:v>HowTo100M; Kinetics-700; Something-Something V2; YouTube-BoundingBoxes; YouTube-8M; Waymo Open; Perception Test; ScanNet; DAVIS 2017; JHMDB; VIP</x:v>
      </x:c>
      <x:c r="H10" s="36" t="str">
        <x:v>2026</x:v>
      </x:c>
      <x:c r="I10" s="34" t="str">
        <x:v>CVPR 2026</x:v>
      </x:c>
      <x:c r="J10" s="38" t="str">
        <x:v>No</x:v>
      </x:c>
      <x:c r="K10" s="38" t="str">
        <x:v>peer_reviewed</x:v>
      </x:c>
      <x:c r="L10" s="34" t="str"/>
      <x:c r="M10" s="34" t="str">
        <x:v>2512.13684</x:v>
      </x:c>
      <x:c r="N10" s="34" t="str">
        <x:v>https://openaccess.thecvf.com/content/CVPR2026/html/Zoran_Recurrent_Video_Masked_Autoencoders_CVPR_2026_paper.html</x:v>
      </x:c>
      <x:c r="O10" s="34" t="str"/>
      <x:c r="P10" s="34" t="str"/>
      <x:c r="Q10" s="38" t="str">
        <x:v>2026-08-11</x:v>
      </x:c>
    </x:row>
    <x:row r="11" ht="44" customHeight="1">
      <x:c r="A11" s="34" t="str">
        <x:v>Rethinking JEPA: Compute-Efficient Video SSL with Frozen Teachers</x:v>
      </x:c>
      <x:c r="B11" s="34" t="str">
        <x:v>Xianhang Li, Chen Huang, Chun-Liang Li, Eran Malach, Josh Susskind, Vimal Thilak, Etai Littwin</x:v>
      </x:c>
      <x:c r="C11" s="34" t="str">
        <x:v>SALT</x:v>
      </x:c>
      <x:c r="D11" s="34" t="str">
        <x:v>Pretext / Predictive</x:v>
      </x:c>
      <x:c r="E11" s="34" t="str">
        <x:v>Kinetics-710; Something-Something V2; Panda-70M; ImageNet-1K</x:v>
      </x:c>
      <x:c r="F11" s="34" t="str">
        <x:v>Kinetics-400; Something-Something V2; COIN; Jester; Diving48; ImageNet-1K; IntPhys; GRASP; InfLevel</x:v>
      </x:c>
      <x:c r="G11" s="34" t="str">
        <x:v>Kinetics-710; Something-Something V2; Panda-70M; ImageNet-1K; Kinetics-400; COIN; Jester; Diving48; IntPhys; GRASP; InfLevel</x:v>
      </x:c>
      <x:c r="H11" s="36" t="str">
        <x:v>2026</x:v>
      </x:c>
      <x:c r="I11" s="34" t="str">
        <x:v>ICLR 2026</x:v>
      </x:c>
      <x:c r="J11" s="38" t="str">
        <x:v>No</x:v>
      </x:c>
      <x:c r="K11" s="38" t="str">
        <x:v>peer_reviewed</x:v>
      </x:c>
      <x:c r="L11" s="34" t="str"/>
      <x:c r="M11" s="34" t="str">
        <x:v>2509.24317</x:v>
      </x:c>
      <x:c r="N11" s="34" t="str">
        <x:v>https://openreview.net/forum?id=3cB9243E9i</x:v>
      </x:c>
      <x:c r="O11" s="34" t="str"/>
      <x:c r="P11" s="34" t="str">
        <x:v>The V-3.6M mixture combines Kinetics-710, Something-Something V2, and a 2.8M-video Panda-70M subset; ImageNet-1K is used in image ablations.</x:v>
      </x:c>
      <x:c r="Q11" s="38" t="str">
        <x:v>2026-08-11</x:v>
      </x:c>
    </x:row>
    <x:row r="12" ht="44" customHeight="1">
      <x:c r="A12" s="34" t="str">
        <x:v>Self-Supervised Learning of Structured Dynamics from Videos</x:v>
      </x:c>
      <x:c r="B12" s="34" t="str">
        <x:v>Lukas Knobel, Andrew Zisserman, Yuki M. Asano</x:v>
      </x:c>
      <x:c r="C12" s="34" t="str">
        <x:v>Structured Dynamics Model (SDM)</x:v>
      </x:c>
      <x:c r="D12" s="34" t="str">
        <x:v>Pretext / Predictive</x:v>
      </x:c>
      <x:c r="E12" s="34" t="str">
        <x:v>Kubric; Something-Something V2; DL3DV</x:v>
      </x:c>
      <x:c r="F12" s="34" t="str">
        <x:v>Kubric; DL3DV; CameraBench; DAVIS 2017; YouTube-VOS; Something-Something V2</x:v>
      </x:c>
      <x:c r="G12" s="34" t="str">
        <x:v>Kubric; Something-Something V2; DL3DV; CameraBench; DAVIS 2017; YouTube-VOS</x:v>
      </x:c>
      <x:c r="H12" s="36" t="str">
        <x:v>2026</x:v>
      </x:c>
      <x:c r="I12" s="34" t="str">
        <x:v>arXiv preprint</x:v>
      </x:c>
      <x:c r="J12" s="38" t="str">
        <x:v>No</x:v>
      </x:c>
      <x:c r="K12" s="38" t="str">
        <x:v>preprint</x:v>
      </x:c>
      <x:c r="L12" s="34" t="str"/>
      <x:c r="M12" s="34" t="str">
        <x:v>2607.21576</x:v>
      </x:c>
      <x:c r="N12" s="34" t="str">
        <x:v>https://arxiv.org/abs/2607.21576</x:v>
      </x:c>
      <x:c r="O12" s="34" t="str">
        <x:v>https://github.com/lukasknobel/StructuredDynamics</x:v>
      </x:c>
      <x:c r="P12" s="34" t="str">
        <x:v>ProbeMotion uses controlled Kubric and DL3DV probes, CameraBench, static-camera subsets of DAVIS 2017 and YouTube-VOS, and the SSv2-110k subset.</x:v>
      </x:c>
      <x:c r="Q12" s="38" t="str">
        <x:v>2026-08-11</x:v>
      </x:c>
    </x:row>
    <x:row r="13" ht="44" customHeight="1">
      <x:c r="A13" s="34" t="str">
        <x:v>Self-Supervised Video Representation Learning in a Heuristic Decoupled Perspective</x:v>
      </x:c>
      <x:c r="B13" s="34" t="str">
        <x:v>Zeen Song, Jingyao Wang, Jianqi Zhang, Changwen Zheng, Wenwen Qiang</x:v>
      </x:c>
      <x:c r="C13" s="34" t="str">
        <x:v>BOD-VCL</x:v>
      </x:c>
      <x:c r="D13" s="34" t="str">
        <x:v>Contrastive</x:v>
      </x:c>
      <x:c r="E13" s="34" t="str">
        <x:v>Kinetics-400</x:v>
      </x:c>
      <x:c r="F13" s="34" t="str">
        <x:v>Kinetics-400; UCF101; HMDB51; Something-Something V2; FineGym; AVA; Diving48; Static-Dynamic UCF101</x:v>
      </x:c>
      <x:c r="G13" s="34" t="str">
        <x:v>Kinetics-400; UCF101; HMDB51; Something-Something V2; FineGym; AVA; Diving48; Static-Dynamic UCF101</x:v>
      </x:c>
      <x:c r="H13" s="36" t="str">
        <x:v>2026</x:v>
      </x:c>
      <x:c r="I13" s="34" t="str">
        <x:v>International Journal of Computer Vision 2026</x:v>
      </x:c>
      <x:c r="J13" s="38" t="str">
        <x:v>No</x:v>
      </x:c>
      <x:c r="K13" s="38" t="str">
        <x:v>peer_reviewed</x:v>
      </x:c>
      <x:c r="L13" s="34" t="str">
        <x:v>10.1007/s11263-026-02785-4</x:v>
      </x:c>
      <x:c r="M13" s="34" t="str">
        <x:v>2407.14069</x:v>
      </x:c>
      <x:c r="N13" s="34" t="str">
        <x:v>https://link.springer.com/article/10.1007/s11263-026-02785-4</x:v>
      </x:c>
      <x:c r="O13" s="34" t="str"/>
      <x:c r="P13" s="34" t="str"/>
      <x:c r="Q13" s="38" t="str">
        <x:v>2026-08-11</x:v>
      </x:c>
    </x:row>
    <x:row r="14" ht="44" customHeight="1">
      <x:c r="A14" s="34" t="str">
        <x:v>Structured-Noise Masked Modeling for Video, Audio and Beyond</x:v>
      </x:c>
      <x:c r="B14" s="34" t="str">
        <x:v>Aritra Bhowmik, Fida Mohammad Thoker, Carlos Hinojosa, Bernard Ghanem, Cees G. M. Snoek</x:v>
      </x:c>
      <x:c r="C14" s="34" t="str">
        <x:v>Structured-Noise Masked Modeling</x:v>
      </x:c>
      <x:c r="D14" s="34" t="str">
        <x:v>Generative / Masked</x:v>
      </x:c>
      <x:c r="E14" s="34" t="str">
        <x:v>Kinetics-400; Something-Something V2; AudioSet-2M; VGGSound</x:v>
      </x:c>
      <x:c r="F14" s="34" t="str">
        <x:v>Kinetics-400; Something-Something V2; DAVIS; YouTube-VOS; AudioSet-20K; AudioSet-2M; ESC-50; VGGSound</x:v>
      </x:c>
      <x:c r="G14" s="34" t="str">
        <x:v>Kinetics-400; Something-Something V2; AudioSet-2M; VGGSound; DAVIS; YouTube-VOS; AudioSet-20K; ESC-50</x:v>
      </x:c>
      <x:c r="H14" s="36" t="str">
        <x:v>2026</x:v>
      </x:c>
      <x:c r="I14" s="34" t="str">
        <x:v>ECCV 2026</x:v>
      </x:c>
      <x:c r="J14" s="38" t="str">
        <x:v>No</x:v>
      </x:c>
      <x:c r="K14" s="38" t="str">
        <x:v>peer_reviewed</x:v>
      </x:c>
      <x:c r="L14" s="34" t="str"/>
      <x:c r="M14" s="34" t="str">
        <x:v>2503.16311</x:v>
      </x:c>
      <x:c r="N14" s="34" t="str">
        <x:v>https://carloshinojosa.me/publication/conf-eccv2026-structured-noise/</x:v>
      </x:c>
      <x:c r="O14" s="34" t="str"/>
      <x:c r="P14" s="34" t="str"/>
      <x:c r="Q14" s="38" t="str">
        <x:v>2026-08-11</x:v>
      </x:c>
    </x:row>
    <x:row r="15" ht="44" customHeight="1">
      <x:c r="A15" s="34" t="str">
        <x:v>The TIME Machine: On The Power of Motion for Efficient Perception</x:v>
      </x:c>
      <x:c r="B15" s="34" t="str">
        <x:v>Mantas Skackauskas, Xinyue Hao, Laura Sevilla-Lara</x:v>
      </x:c>
      <x:c r="C15" s="34" t="str">
        <x:v>TIME (Temporally Informed Motion Embedding)</x:v>
      </x:c>
      <x:c r="D15" s="34" t="str">
        <x:v>Generative / Masked</x:v>
      </x:c>
      <x:c r="E15" s="34" t="str">
        <x:v>Kubric MOVi-B</x:v>
      </x:c>
      <x:c r="F15" s="34" t="str">
        <x:v>Something-Something V2; CLEVRER; Diving48; Ego-Exo4D</x:v>
      </x:c>
      <x:c r="G15" s="34" t="str">
        <x:v>Kubric MOVi-B; Something-Something V2; CLEVRER; Diving48; Ego-Exo4D</x:v>
      </x:c>
      <x:c r="H15" s="36" t="str">
        <x:v>2026</x:v>
      </x:c>
      <x:c r="I15" s="34" t="str">
        <x:v>arXiv preprint</x:v>
      </x:c>
      <x:c r="J15" s="38" t="str">
        <x:v>No</x:v>
      </x:c>
      <x:c r="K15" s="38" t="str">
        <x:v>preprint</x:v>
      </x:c>
      <x:c r="L15" s="34" t="str"/>
      <x:c r="M15" s="34" t="str">
        <x:v>2605.23045</x:v>
      </x:c>
      <x:c r="N15" s="34" t="str">
        <x:v>https://arxiv.org/abs/2605.23045</x:v>
      </x:c>
      <x:c r="O15" s="34" t="str"/>
      <x:c r="P15" s="34" t="str">
        <x:v>The main model is pretrained on 250,000 Kubric MOVi-B synthetic videos. A second-stage Something-Something V2 trajectory pretraining experiment is an ablation, not the default model.</x:v>
      </x:c>
      <x:c r="Q15" s="38" t="str">
        <x:v>2026-08-11</x:v>
      </x:c>
    </x:row>
    <x:row r="16" ht="44" customHeight="1">
      <x:c r="A16" s="34" t="str">
        <x:v>TrackMAE: Video Representation Learning via Track Mask and Predict</x:v>
      </x:c>
      <x:c r="B16" s="34" t="str">
        <x:v>Renaud Vandeghen, Fida Mohammad Thoker, Marc Van Droogenbroeck, Bernard Ghanem</x:v>
      </x:c>
      <x:c r="C16" s="34" t="str">
        <x:v>TrackMAE</x:v>
      </x:c>
      <x:c r="D16" s="34" t="str">
        <x:v>Generative / Masked</x:v>
      </x:c>
      <x:c r="E16" s="34" t="str">
        <x:v>Kinetics-400</x:v>
      </x:c>
      <x:c r="F16" s="34" t="str">
        <x:v>Kinetics-400; HMDB51; Something-Something V2; FineGYM; UCF101; UCFRep; Charades</x:v>
      </x:c>
      <x:c r="G16" s="34" t="str">
        <x:v>Kinetics-400; HMDB51; Something-Something V2; FineGYM; UCF101; UCFRep; Charades</x:v>
      </x:c>
      <x:c r="H16" s="36" t="str">
        <x:v>2026</x:v>
      </x:c>
      <x:c r="I16" s="34" t="str">
        <x:v>CVPR 2026</x:v>
      </x:c>
      <x:c r="J16" s="38" t="str">
        <x:v>No</x:v>
      </x:c>
      <x:c r="K16" s="38" t="str">
        <x:v>peer_reviewed</x:v>
      </x:c>
      <x:c r="L16" s="34" t="str"/>
      <x:c r="M16" s="34" t="str">
        <x:v>2603.27268</x:v>
      </x:c>
      <x:c r="N16" s="34" t="str">
        <x:v>https://openaccess.thecvf.com/content/CVPR2026/html/Vandeghen_TrackMAE_Video_Representation_Learning_via_Track_Mask_and_Predict_CVPR_2026_paper.html</x:v>
      </x:c>
      <x:c r="O16" s="34" t="str">
        <x:v>https://github.com/rvandeghen/TrackMAE</x:v>
      </x:c>
      <x:c r="P16" s="34" t="str">
        <x:v>The main encoder is pretrained on Kinetics-400. SEVERE contributes eight evaluation settings drawn from Something-Something V2, FineGYM, UCF101, UCFRep, and Charades.</x:v>
      </x:c>
      <x:c r="Q16" s="38" t="str">
        <x:v>2026-08-11</x:v>
      </x:c>
    </x:row>
    <x:row r="17" ht="44" customHeight="1">
      <x:c r="A17" s="34" t="str">
        <x:v>TrAction: Action Recognition with Sparse Trajectories</x:v>
      </x:c>
      <x:c r="B17" s="34" t="str">
        <x:v>Jan F. Meier, Felix B. Mueller, Alexander Ecker, Timo Lüddecke</x:v>
      </x:c>
      <x:c r="C17" s="34" t="str">
        <x:v>TrAction</x:v>
      </x:c>
      <x:c r="D17" s="34" t="str">
        <x:v>Generative / Masked</x:v>
      </x:c>
      <x:c r="E17" s="34" t="str">
        <x:v>Kinetics-400; Something-Something V2</x:v>
      </x:c>
      <x:c r="F17" s="34" t="str">
        <x:v>Kinetics-400; Something-Something V2; EPIC-KITCHENS-100; Invariant Action Recognition Dataset; Chirality in Action</x:v>
      </x:c>
      <x:c r="G17" s="34" t="str">
        <x:v>Kinetics-400; Something-Something V2; EPIC-KITCHENS-100; Invariant Action Recognition Dataset; Chirality in Action</x:v>
      </x:c>
      <x:c r="H17" s="36" t="str">
        <x:v>2026</x:v>
      </x:c>
      <x:c r="I17" s="34" t="str">
        <x:v>arXiv preprint</x:v>
      </x:c>
      <x:c r="J17" s="38" t="str">
        <x:v>No</x:v>
      </x:c>
      <x:c r="K17" s="38" t="str">
        <x:v>preprint</x:v>
      </x:c>
      <x:c r="L17" s="34" t="str"/>
      <x:c r="M17" s="34" t="str">
        <x:v>2606.03490</x:v>
      </x:c>
      <x:c r="N17" s="34" t="str">
        <x:v>https://arxiv.org/abs/2606.03490</x:v>
      </x:c>
      <x:c r="O17" s="34" t="str">
        <x:v>https://github.com/ecker-lab/TrAction</x:v>
      </x:c>
      <x:c r="P17" s="34" t="str">
        <x:v>UCF101 and HMDB51 are discussed only as appearance-dominated examples and are not counted as evaluated datasets.</x:v>
      </x:c>
      <x:c r="Q17" s="38" t="str">
        <x:v>2026-08-11</x:v>
      </x:c>
    </x:row>
    <x:row r="18" ht="44" customHeight="1">
      <x:c r="A18" s="34" t="str">
        <x:v>V-JEPA 2.1: Unlocking Dense Features in Video Self-Supervised Learning</x:v>
      </x:c>
      <x:c r="B18" s="34" t="str">
        <x:v>Lorenzo Mur-Labadia, Matthew Muckley, Amir Bar, Mido Assran, Koustuv Sinha, Mike Rabbat, Yann LeCun, Nicolas Ballas, Adrien Bardes</x:v>
      </x:c>
      <x:c r="C18" s="34" t="str">
        <x:v>V-JEPA 2.1</x:v>
      </x:c>
      <x:c r="D18" s="34" t="str">
        <x:v>Pretext / Predictive</x:v>
      </x:c>
      <x:c r="E18" s="34" t="str">
        <x:v>VisionMix-163M; Something-Something V2; Kinetics; HowTo100M; YT-1B; LVD-142M</x:v>
      </x:c>
      <x:c r="F18" s="34" t="str">
        <x:v>Ego4D STA v2; EPIC-KITCHENS-100; NYUv2; KITTI; ADE20K; PASCAL VOC12; Cityscapes; DAVIS 2017; YouTube-VOS; Something-Something V2; Kinetics-400; Diving48; ImageNet-1K; Perception Test; Minimal Video Pairs; TempCompass; TemporalBench; TOMATO; MVBench; TVBench; RECON; TartanDrive; SCAND; SACSoN</x:v>
      </x:c>
      <x:c r="G18" s="34" t="str">
        <x:v>VisionMix-163M; Something-Something V2; Kinetics; HowTo100M; YT-1B; LVD-142M; DROID; PerceptionLM; Ego4D STA v2; EPIC-KITCHENS-100; NYUv2; KITTI; ADE20K; PASCAL VOC12; Cityscapes; DAVIS 2017; YouTube-VOS; Kinetics-400; Diving48; ImageNet-1K; Perception Test; Minimal Video Pairs; TempCompass; TemporalBench; TOMATO; MVBench; TVBench; RECON; TartanDrive; SCAND; SACSoN</x:v>
      </x:c>
      <x:c r="H18" s="36" t="str">
        <x:v>2026</x:v>
      </x:c>
      <x:c r="I18" s="34" t="str">
        <x:v>arXiv preprint</x:v>
      </x:c>
      <x:c r="J18" s="38" t="str">
        <x:v>No</x:v>
      </x:c>
      <x:c r="K18" s="38" t="str">
        <x:v>preprint</x:v>
      </x:c>
      <x:c r="L18" s="34" t="str"/>
      <x:c r="M18" s="34" t="str">
        <x:v>2603.14482</x:v>
      </x:c>
      <x:c r="N18" s="34" t="str">
        <x:v>https://arxiv.org/abs/2603.14482</x:v>
      </x:c>
      <x:c r="O18" s="34" t="str">
        <x:v>https://github.com/facebookresearch/vjepa2</x:v>
      </x:c>
      <x:c r="P18" s="34" t="str">
        <x:v>VisionMix-163M combines Something-Something V2, Kinetics, HowTo100M, YT-1B, and LVD-142M. DROID and PerceptionLM are used in downstream alignment or world-model training rather than the foundation pretraining mixture.</x:v>
      </x:c>
      <x:c r="Q18" s="38" t="str">
        <x:v>2026-08-11</x:v>
      </x:c>
    </x:row>
    <x:row r="19" ht="44" customHeight="1">
      <x:c r="A19" s="34" t="str">
        <x:v>A Large-Scale Analysis on Contextual Self-Supervised Video Representation Learning</x:v>
      </x:c>
      <x:c r="B19" s="34" t="str">
        <x:v>Akash Kumar, Ashlesha Kumar, Vibhav Vineet, Yogesh S Rawat</x:v>
      </x:c>
      <x:c r="C19" s="34" t="str">
        <x:v>Contextual VideoSSL Benchmark and Multi-Teacher Distillation</x:v>
      </x:c>
      <x:c r="D19" s="34" t="str">
        <x:v>Other / Hybrid</x:v>
      </x:c>
      <x:c r="E19" s="34" t="str">
        <x:v>Kinetics-400; Something-Something V2</x:v>
      </x:c>
      <x:c r="F19" s="34" t="str">
        <x:v>Kinetics-400; Something-Something V2; UCF101; HMDB51; Diving48</x:v>
      </x:c>
      <x:c r="G19" s="34" t="str">
        <x:v>Kinetics-400; Something-Something V2; UCF101; HMDB51; Diving48</x:v>
      </x:c>
      <x:c r="H19" s="36" t="str">
        <x:v>2025</x:v>
      </x:c>
      <x:c r="I19" s="34" t="str">
        <x:v>CVPR Workshops 2025</x:v>
      </x:c>
      <x:c r="J19" s="38" t="str">
        <x:v>No</x:v>
      </x:c>
      <x:c r="K19" s="38" t="str">
        <x:v>peer_reviewed</x:v>
      </x:c>
      <x:c r="L19" s="34" t="str"/>
      <x:c r="M19" s="34" t="str">
        <x:v>2504.06153</x:v>
      </x:c>
      <x:c r="N19" s="34" t="str">
        <x:v>https://openaccess.thecvf.com/content/CVPR2025W/TCV/html/Kumar_A_Large-Scale_Analysis_on_Contextual_Self-Supervised_Video_Representation_Learning_CVPRW_2025_paper.html</x:v>
      </x:c>
      <x:c r="O19" s="34" t="str"/>
      <x:c r="P19" s="34" t="str"/>
      <x:c r="Q19" s="38" t="str">
        <x:v>2026-08-11</x:v>
      </x:c>
    </x:row>
    <x:row r="20" ht="44" customHeight="1">
      <x:c r="A20" s="34" t="str">
        <x:v>Advancing video self-supervised learning via image foundation models</x:v>
      </x:c>
      <x:c r="B20" s="34" t="str">
        <x:v>Jingwei Wu, Zhewei Huang, Chang Liu</x:v>
      </x:c>
      <x:c r="C20" s="34" t="str">
        <x:v>AdViSe</x:v>
      </x:c>
      <x:c r="D20" s="34" t="str">
        <x:v>Other / Hybrid</x:v>
      </x:c>
      <x:c r="E20" s="34" t="str">
        <x:v>ImageNet-1K; UCF101; HMDB51; Diving48; Something-Something V2; Kinetics-400</x:v>
      </x:c>
      <x:c r="F20" s="34" t="str">
        <x:v>UCF101; HMDB51; Diving48; Something-Something V2; Kinetics-400</x:v>
      </x:c>
      <x:c r="G20" s="34" t="str">
        <x:v>ImageNet-1K; UCF101; HMDB51; Diving48; Something-Something V2; Kinetics-400</x:v>
      </x:c>
      <x:c r="H20" s="36" t="str">
        <x:v>2025</x:v>
      </x:c>
      <x:c r="I20" s="34" t="str">
        <x:v>Pattern Recognition Letters 2025</x:v>
      </x:c>
      <x:c r="J20" s="38" t="str">
        <x:v>No</x:v>
      </x:c>
      <x:c r="K20" s="38" t="str">
        <x:v>peer_reviewed</x:v>
      </x:c>
      <x:c r="L20" s="34" t="str">
        <x:v>10.1016/j.patrec.2025.03.015</x:v>
      </x:c>
      <x:c r="M20" s="34" t="str">
        <x:v>2505.19218</x:v>
      </x:c>
      <x:c r="N20" s="34" t="str">
        <x:v>https://www.sciencedirect.com/science/article/pii/S0167865525001072</x:v>
      </x:c>
      <x:c r="O20" s="34" t="str">
        <x:v>https://github.com/JingwWu/advise-video-ssl</x:v>
      </x:c>
      <x:c r="P20" s="34" t="str">
        <x:v>ImageNet-1K is the source pretraining benchmark for the frozen image foundation models; the video datasets support self-supervised adaptation and evaluation.</x:v>
      </x:c>
      <x:c r="Q20" s="38" t="str">
        <x:v>2026-08-11</x:v>
      </x:c>
    </x:row>
    <x:row r="21" ht="44" customHeight="1">
      <x:c r="A21" s="34" t="str">
        <x:v>An Empirical Study of Autoregressive Pre-training from Videos</x:v>
      </x:c>
      <x:c r="B21" s="34" t="str">
        <x:v>Jathushan Rajasegaran, Ilija Radosavovic, Rahul Ravishankar, Yossi Gandelsman, Christoph Feichtenhofer, Jitendra Malik</x:v>
      </x:c>
      <x:c r="C21" s="34" t="str">
        <x:v>Toto</x:v>
      </x:c>
      <x:c r="D21" s="34" t="str">
        <x:v>Generative / Masked</x:v>
      </x:c>
      <x:c r="E21" s="34" t="str">
        <x:v>ImageNet-1K; Kinetics-600; Ego4D; HowTo100M</x:v>
      </x:c>
      <x:c r="F21" s="34" t="str">
        <x:v>ImageNet-1K; Kinetics-400; Ego4D STA v1; DAVIS 2017; CATER; MVP</x:v>
      </x:c>
      <x:c r="G21" s="34" t="str">
        <x:v>ImageNet-1K; Kinetics-600; Ego4D; HowTo100M; Kinetics-400; Ego4D STA v1; DAVIS 2017; CATER; MVP</x:v>
      </x:c>
      <x:c r="H21" s="36" t="str">
        <x:v>2025</x:v>
      </x:c>
      <x:c r="I21" s="34" t="str">
        <x:v>ICCV 2025</x:v>
      </x:c>
      <x:c r="J21" s="38" t="str">
        <x:v>No</x:v>
      </x:c>
      <x:c r="K21" s="38" t="str">
        <x:v>peer_reviewed</x:v>
      </x:c>
      <x:c r="L21" s="34" t="str"/>
      <x:c r="M21" s="34" t="str">
        <x:v>2501.05453</x:v>
      </x:c>
      <x:c r="N21" s="34" t="str">
        <x:v>https://openaccess.thecvf.com/content/ICCV2025/html/Rajasegaran_An_Empirical_Study_of_Autoregressive_Pre-training_from_Videos_ICCV_2025_paper.html</x:v>
      </x:c>
      <x:c r="O21" s="34" t="str"/>
      <x:c r="P21" s="34" t="str">
        <x:v>MVP denotes the simulated and real robot manipulation evaluations reported by the paper.</x:v>
      </x:c>
      <x:c r="Q21" s="38" t="str">
        <x:v>2026-08-11</x:v>
      </x:c>
    </x:row>
    <x:row r="22" ht="44" customHeight="1">
      <x:c r="A22" s="34" t="str">
        <x:v>ARVideo: Autoregressive Pretraining for Self-Supervised Video Representation Learning</x:v>
      </x:c>
      <x:c r="B22" s="34" t="str">
        <x:v>Sucheng Ren, Hongru Zhu, Chen Wei, Yijiang Li, Alan Yuille, Cihang Xie</x:v>
      </x:c>
      <x:c r="C22" s="34" t="str">
        <x:v>ARVideo</x:v>
      </x:c>
      <x:c r="D22" s="34" t="str">
        <x:v>Generative / Masked</x:v>
      </x:c>
      <x:c r="E22" s="34" t="str">
        <x:v>Kinetics-400; Something-Something V2</x:v>
      </x:c>
      <x:c r="F22" s="34" t="str">
        <x:v>Kinetics-400; Something-Something V2; UCF101; HMDB51; AVA v2.2</x:v>
      </x:c>
      <x:c r="G22" s="34" t="str">
        <x:v>Kinetics-400; Something-Something V2; UCF101; HMDB51; AVA v2.2</x:v>
      </x:c>
      <x:c r="H22" s="36" t="str">
        <x:v>2025</x:v>
      </x:c>
      <x:c r="I22" s="34" t="str">
        <x:v>Transactions on Machine Learning Research 2025</x:v>
      </x:c>
      <x:c r="J22" s="38" t="str">
        <x:v>No</x:v>
      </x:c>
      <x:c r="K22" s="38" t="str">
        <x:v>peer_reviewed</x:v>
      </x:c>
      <x:c r="L22" s="34" t="str"/>
      <x:c r="M22" s="34" t="str">
        <x:v>2405.15160</x:v>
      </x:c>
      <x:c r="N22" s="34" t="str">
        <x:v>https://openreview.net/forum?id=hWlCc7Iksi</x:v>
      </x:c>
      <x:c r="O22" s="34" t="str"/>
      <x:c r="P22" s="34" t="str"/>
      <x:c r="Q22" s="38" t="str">
        <x:v>2026-08-11</x:v>
      </x:c>
    </x:row>
    <x:row r="23" ht="44" customHeight="1">
      <x:c r="A23" s="34" t="str">
        <x:v>AutoSSVH: Exploring Automated Frame Sampling for Efficient Self-Supervised Video Hashing</x:v>
      </x:c>
      <x:c r="B23" s="34" t="str">
        <x:v>Niu Lian, Jun Li, Jinpeng Wang, Ruisheng Luo, Yaowei Wang, Shu-Tao Xia, Bin Chen</x:v>
      </x:c>
      <x:c r="C23" s="34" t="str">
        <x:v>AutoSSVH</x:v>
      </x:c>
      <x:c r="D23" s="34" t="str">
        <x:v>Other / Hybrid</x:v>
      </x:c>
      <x:c r="E23" s="34" t="str">
        <x:v>ActivityNet; FCVID; UCF101; HMDB51</x:v>
      </x:c>
      <x:c r="F23" s="34" t="str">
        <x:v>ActivityNet; FCVID; UCF101; HMDB51</x:v>
      </x:c>
      <x:c r="G23" s="34" t="str">
        <x:v>ActivityNet; FCVID; UCF101; HMDB51</x:v>
      </x:c>
      <x:c r="H23" s="36" t="str">
        <x:v>2025</x:v>
      </x:c>
      <x:c r="I23" s="34" t="str">
        <x:v>CVPR 2025</x:v>
      </x:c>
      <x:c r="J23" s="38" t="str">
        <x:v>No</x:v>
      </x:c>
      <x:c r="K23" s="38" t="str">
        <x:v>peer_reviewed</x:v>
      </x:c>
      <x:c r="L23" s="34" t="str">
        <x:v>10.1109/CVPR52734.2025.01759</x:v>
      </x:c>
      <x:c r="M23" s="34" t="str">
        <x:v>2504.03587</x:v>
      </x:c>
      <x:c r="N23" s="34" t="str">
        <x:v>https://openaccess.thecvf.com/content/CVPR2025/html/Lian_AutoSSVH_Exploring_Automated_Frame_Sampling_for_Efficient_Self-Supervised_Video_Hashing_CVPR_2025_paper.html</x:v>
      </x:c>
      <x:c r="O23" s="34" t="str">
        <x:v>https://github.com/EliSpectre/CVPR25-AutoSSVH</x:v>
      </x:c>
      <x:c r="P23" s="34" t="str"/>
      <x:c r="Q23" s="38" t="str">
        <x:v>2026-08-11</x:v>
      </x:c>
    </x:row>
    <x:row r="24" ht="44" customHeight="1">
      <x:c r="A24" s="34" t="str">
        <x:v>Collaboratively Self-supervised Video Representation Learning for Action Recognition</x:v>
      </x:c>
      <x:c r="B24" s="34" t="str">
        <x:v>Jie Zhang, Zhifan Wan, Lanqing Hu, Stephen Lin, Shuzhe Wu, Shiguang Shan</x:v>
      </x:c>
      <x:c r="C24" s="34" t="str">
        <x:v>CSVR</x:v>
      </x:c>
      <x:c r="D24" s="34" t="str">
        <x:v>Other / Hybrid</x:v>
      </x:c>
      <x:c r="E24" s="34" t="str">
        <x:v>UCF101; Kinetics-400</x:v>
      </x:c>
      <x:c r="F24" s="34" t="str">
        <x:v>UCF101; HMDB51; Something-Something V2; Kinetics-400</x:v>
      </x:c>
      <x:c r="G24" s="34" t="str">
        <x:v>UCF101; Kinetics-400; HMDB51; Something-Something V2</x:v>
      </x:c>
      <x:c r="H24" s="36" t="str">
        <x:v>2025</x:v>
      </x:c>
      <x:c r="I24" s="34" t="str">
        <x:v>IEEE Transactions on Information Forensics and Security 2025</x:v>
      </x:c>
      <x:c r="J24" s="38" t="str">
        <x:v>No</x:v>
      </x:c>
      <x:c r="K24" s="38" t="str">
        <x:v>peer_reviewed</x:v>
      </x:c>
      <x:c r="L24" s="34" t="str">
        <x:v>10.1109/TIFS.2025.3531772</x:v>
      </x:c>
      <x:c r="M24" s="34" t="str">
        <x:v>2401.07584</x:v>
      </x:c>
      <x:c r="N24" s="34" t="str">
        <x:v>https://ieeexplore.ieee.org/document/10847948/</x:v>
      </x:c>
      <x:c r="O24" s="34" t="str"/>
      <x:c r="P24" s="34" t="str"/>
      <x:c r="Q24" s="38" t="str">
        <x:v>2026-08-11</x:v>
      </x:c>
    </x:row>
    <x:row r="25" ht="44" customHeight="1">
      <x:c r="A25" s="34" t="str">
        <x:v>CrossVideoMAE: Self-Supervised Image-Video Representation Learning with Masked Autoencoders</x:v>
      </x:c>
      <x:c r="B25" s="34" t="str">
        <x:v>Shihab Aaqil Ahamed∗, Malitha Gunawardhana∗, Liel David, Michael Sidorov, Daniel Harari, Muhammad Haris Khan</x:v>
      </x:c>
      <x:c r="C25" s="34" t="str">
        <x:v>CrossVideoMAE</x:v>
      </x:c>
      <x:c r="D25" s="34" t="str">
        <x:v>Generative / Masked</x:v>
      </x:c>
      <x:c r="E25" s="34" t="str">
        <x:v>Kinetics-400; Something-Something V2; ImageNet-1K</x:v>
      </x:c>
      <x:c r="F25" s="34" t="str">
        <x:v>Kinetics-400; Something-Something V2; UCF101; HMDB51; ImageNet-1K</x:v>
      </x:c>
      <x:c r="G25" s="34" t="str">
        <x:v>Kinetics-400; Something-Something V2; ImageNet-1K; UCF101; HMDB51</x:v>
      </x:c>
      <x:c r="H25" s="36" t="str">
        <x:v>2025</x:v>
      </x:c>
      <x:c r="I25" s="34" t="str">
        <x:v>arXiv preprint</x:v>
      </x:c>
      <x:c r="J25" s="38" t="str">
        <x:v>No</x:v>
      </x:c>
      <x:c r="K25" s="38" t="str">
        <x:v>preprint</x:v>
      </x:c>
      <x:c r="L25" s="34" t="str"/>
      <x:c r="M25" s="34" t="str">
        <x:v>2502.07811</x:v>
      </x:c>
      <x:c r="N25" s="34" t="str">
        <x:v>https://arxiv.org/abs/2502.07811</x:v>
      </x:c>
      <x:c r="O25" s="34" t="str"/>
      <x:c r="P25" s="34" t="str">
        <x:v>Sampled frames from Kinetics-400 and Something-Something V2 form the image side of joint pretraining; ImageNet-1K is used as an auxiliary image benchmark.</x:v>
      </x:c>
      <x:c r="Q25" s="38" t="str">
        <x:v>2026-08-11</x:v>
      </x:c>
    </x:row>
    <x:row r="26" ht="44" customHeight="1">
      <x:c r="A26" s="34" t="str">
        <x:v>Efficient Self-Supervised Video Hashing with Selective State Spaces</x:v>
      </x:c>
      <x:c r="B26" s="34" t="str">
        <x:v>Jinpeng Wang, Niu Lian, Jun Li, Yuting Wang, Yan Feng, Bin Chen, Yongbing Zhang, Shu-Tao Xia1</x:v>
      </x:c>
      <x:c r="C26" s="34" t="str">
        <x:v>S5VH</x:v>
      </x:c>
      <x:c r="D26" s="34" t="str">
        <x:v>Other / Hybrid</x:v>
      </x:c>
      <x:c r="E26" s="34" t="str">
        <x:v>ActivityNet; FCVID; UCF101; HMDB51</x:v>
      </x:c>
      <x:c r="F26" s="34" t="str">
        <x:v>ActivityNet; FCVID; UCF101; HMDB51</x:v>
      </x:c>
      <x:c r="G26" s="34" t="str">
        <x:v>ActivityNet; FCVID; UCF101; HMDB51</x:v>
      </x:c>
      <x:c r="H26" s="36" t="str">
        <x:v>2025</x:v>
      </x:c>
      <x:c r="I26" s="34" t="str">
        <x:v>AAAI 2025</x:v>
      </x:c>
      <x:c r="J26" s="38" t="str">
        <x:v>No</x:v>
      </x:c>
      <x:c r="K26" s="38" t="str">
        <x:v>peer_reviewed</x:v>
      </x:c>
      <x:c r="L26" s="34" t="str">
        <x:v>10.1609/aaai.v39i7.32835</x:v>
      </x:c>
      <x:c r="M26" s="34" t="str"/>
      <x:c r="N26" s="34" t="str">
        <x:v>https://ojs.aaai.org/index.php/AAAI/article/view/32835</x:v>
      </x:c>
      <x:c r="O26" s="34" t="str"/>
      <x:c r="P26" s="34" t="str"/>
      <x:c r="Q26" s="38" t="str">
        <x:v>2026-08-11</x:v>
      </x:c>
    </x:row>
    <x:row r="27" ht="44" customHeight="1">
      <x:c r="A27" s="34" t="str">
        <x:v>Efficient VideoMAE via Temporal Progressive Training</x:v>
      </x:c>
      <x:c r="B27" s="34" t="str">
        <x:v>Xianhang Li, Peng Wang, Xinyu Li, Heng Wang, Hongru Zhu, Cihang Xie</x:v>
      </x:c>
      <x:c r="C27" s="34" t="str">
        <x:v>Temporal Progressive Training (TPT)</x:v>
      </x:c>
      <x:c r="D27" s="34" t="str">
        <x:v>Generative / Masked</x:v>
      </x:c>
      <x:c r="E27" s="34" t="str">
        <x:v>Kinetics-400; Something-Something V2</x:v>
      </x:c>
      <x:c r="F27" s="34" t="str">
        <x:v>Kinetics-400; Something-Something V2</x:v>
      </x:c>
      <x:c r="G27" s="34" t="str">
        <x:v>Kinetics-400; Something-Something V2</x:v>
      </x:c>
      <x:c r="H27" s="36" t="str">
        <x:v>2025</x:v>
      </x:c>
      <x:c r="I27" s="34" t="str">
        <x:v>CVPR Workshops 2025</x:v>
      </x:c>
      <x:c r="J27" s="38" t="str">
        <x:v>No</x:v>
      </x:c>
      <x:c r="K27" s="38" t="str">
        <x:v>peer_reviewed</x:v>
      </x:c>
      <x:c r="L27" s="34" t="str">
        <x:v>10.1109/CVPRW67362.2025.00250</x:v>
      </x:c>
      <x:c r="M27" s="34" t="str"/>
      <x:c r="N27" s="34" t="str">
        <x:v>https://openaccess.thecvf.com/content/CVPR2025W/PVUW/html/Li_Efficient_VideoMAE_via_Temporal_Progressive_Training_CVPRW_2025_paper.html</x:v>
      </x:c>
      <x:c r="O27" s="34" t="str"/>
      <x:c r="P27" s="34" t="str">
        <x:v>The curriculum is trained and evaluated separately on Kinetics-400 and Something-Something V2.</x:v>
      </x:c>
      <x:c r="Q27" s="38" t="str">
        <x:v>2026-08-11</x:v>
      </x:c>
    </x:row>
    <x:row r="28" ht="44" customHeight="1">
      <x:c r="A28" s="34" t="str">
        <x:v>Entropy-Guided Masked Autoencoding for Self-Supervised Human Action Recognition Using Video Swin Transformer</x:v>
      </x:c>
      <x:c r="B28" s="34" t="str">
        <x:v>Kollu Praveen Kumar; Guduri Baby Harshitha; Koti Vijay; Angothu Sravika</x:v>
      </x:c>
      <x:c r="C28" s="34" t="str">
        <x:v>Entropy-Guided Masked Autoencoding</x:v>
      </x:c>
      <x:c r="D28" s="34" t="str">
        <x:v>Generative / Masked</x:v>
      </x:c>
      <x:c r="E28" s="34" t="str">
        <x:v>UCF101</x:v>
      </x:c>
      <x:c r="F28" s="34" t="str">
        <x:v>UCF101</x:v>
      </x:c>
      <x:c r="G28" s="34" t="str">
        <x:v>UCF101</x:v>
      </x:c>
      <x:c r="H28" s="36" t="str">
        <x:v>2025</x:v>
      </x:c>
      <x:c r="I28" s="34" t="str">
        <x:v>ACROSET 2025</x:v>
      </x:c>
      <x:c r="J28" s="38" t="str">
        <x:v>No</x:v>
      </x:c>
      <x:c r="K28" s="38" t="str">
        <x:v>peer_reviewed</x:v>
      </x:c>
      <x:c r="L28" s="34" t="str">
        <x:v>10.1109/ACROSET66531.2025.11281001</x:v>
      </x:c>
      <x:c r="M28" s="34" t="str"/>
      <x:c r="N28" s="34" t="str">
        <x:v>https://ieeexplore.ieee.org/document/11281001</x:v>
      </x:c>
      <x:c r="O28" s="34" t="str"/>
      <x:c r="P28" s="34" t="str"/>
      <x:c r="Q28" s="38" t="str">
        <x:v>2026-08-11</x:v>
      </x:c>
    </x:row>
    <x:row r="29" ht="44" customHeight="1">
      <x:c r="A29" s="34" t="str">
        <x:v>Exemplar-free class incremental action recognition based on self-supervised learning</x:v>
      </x:c>
      <x:c r="B29" s="34" t="str">
        <x:v>Chunyu Hou, Yonghong Hou, Jinyin Jiang, Gunel Abdullayeva</x:v>
      </x:c>
      <x:c r="C29" s="34" t="str">
        <x:v>Exemplar-Free SSL Class-Incremental Action Recognition</x:v>
      </x:c>
      <x:c r="D29" s="34" t="str">
        <x:v>Other / Hybrid</x:v>
      </x:c>
      <x:c r="E29" s="34" t="str">
        <x:v>UCF101; HMDB51; Kinetics-400; Something-Something V2</x:v>
      </x:c>
      <x:c r="F29" s="34" t="str">
        <x:v>UCF101; HMDB51; Kinetics-400; Something-Something V2</x:v>
      </x:c>
      <x:c r="G29" s="34" t="str">
        <x:v>UCF101; HMDB51; Kinetics-400; Something-Something V2</x:v>
      </x:c>
      <x:c r="H29" s="36" t="str">
        <x:v>2025</x:v>
      </x:c>
      <x:c r="I29" s="34" t="str">
        <x:v>Image and Vision Computing 2025</x:v>
      </x:c>
      <x:c r="J29" s="38" t="str">
        <x:v>No</x:v>
      </x:c>
      <x:c r="K29" s="38" t="str">
        <x:v>peer_reviewed</x:v>
      </x:c>
      <x:c r="L29" s="34" t="str">
        <x:v>10.1016/j.imavis.2025.105544</x:v>
      </x:c>
      <x:c r="M29" s="34" t="str"/>
      <x:c r="N29" s="34" t="str">
        <x:v>https://www.sciencedirect.com/science/article/pii/S0262885625001325</x:v>
      </x:c>
      <x:c r="O29" s="34" t="str"/>
      <x:c r="P29" s="34" t="str"/>
      <x:c r="Q29" s="38" t="str">
        <x:v>2026-08-11</x:v>
      </x:c>
    </x:row>
    <x:row r="30" ht="44" customHeight="1">
      <x:c r="A30" s="34" t="str">
        <x:v>Feature Hallucination for Self-supervised Action Recognition</x:v>
      </x:c>
      <x:c r="B30" s="34" t="str">
        <x:v>Lei Wang, Piotr Koniusz; ;</x:v>
      </x:c>
      <x:c r="C30" s="34" t="str">
        <x:v>DEEP-HAL</x:v>
      </x:c>
      <x:c r="D30" s="34" t="str">
        <x:v>Cross-Modal</x:v>
      </x:c>
      <x:c r="E30" s="34" t="str">
        <x:v>Kinetics-400; COCO; AVA v2.1; Kinetics-Skeletons</x:v>
      </x:c>
      <x:c r="F30" s="34" t="str">
        <x:v>HMDB51; YUP++; MPII Cooking Activities; Charades; EPIC-KITCHENS-55; Toyota Smarthome; Kinetics-400; Kinetics-600; Something-Something V2</x:v>
      </x:c>
      <x:c r="G30" s="34" t="str">
        <x:v>Kinetics-400; COCO; AVA v2.1; Kinetics-Skeletons; HMDB51; YUP++; MPII Cooking Activities; Charades; EPIC-KITCHENS-55; Toyota Smarthome; Kinetics-600; Something-Something V2</x:v>
      </x:c>
      <x:c r="H30" s="36" t="str">
        <x:v>2025</x:v>
      </x:c>
      <x:c r="I30" s="34" t="str">
        <x:v>International Journal of Computer Vision 2025</x:v>
      </x:c>
      <x:c r="J30" s="38" t="str">
        <x:v>No</x:v>
      </x:c>
      <x:c r="K30" s="38" t="str">
        <x:v>peer_reviewed</x:v>
      </x:c>
      <x:c r="L30" s="34" t="str">
        <x:v>10.1007/s11263-025-02513-4</x:v>
      </x:c>
      <x:c r="M30" s="34" t="str">
        <x:v>2506.20342</x:v>
      </x:c>
      <x:c r="N30" s="34" t="str">
        <x:v>https://link.springer.com/article/10.1007/s11263-025-02513-4</x:v>
      </x:c>
      <x:c r="O30" s="34" t="str"/>
      <x:c r="P30" s="34" t="str">
        <x:v>Kinetics-400, COCO/AVA, and Kinetics-Skeletons supply the pretrained auxiliary modality teachers used by the hallucination framework.</x:v>
      </x:c>
      <x:c r="Q30" s="38" t="str">
        <x:v>2026-08-11</x:v>
      </x:c>
    </x:row>
    <x:row r="31" ht="44" customHeight="1">
      <x:c r="A31" s="34" t="str">
        <x:v>Hashtag2Action: Data Engineering and Self-Supervised Pre-Training for Action Recognition in Short-Form Videos</x:v>
      </x:c>
      <x:c r="B31" s="34" t="str">
        <x:v>Yang Qian, Ali Kargarandehkordi, Yinan Sun, Parnian Azizian, Onur Cezmi Mutlu, Saimourya Surabhi, Zain Jabbar, Dennis Wall, Peter Washington, Huaijin Chen;</x:v>
      </x:c>
      <x:c r="C31" s="34" t="str">
        <x:v>Hashtag2Action (H2A)</x:v>
      </x:c>
      <x:c r="D31" s="34" t="str">
        <x:v>Generative / Masked</x:v>
      </x:c>
      <x:c r="E31" s="34" t="str">
        <x:v>Hashtag2Action</x:v>
      </x:c>
      <x:c r="F31" s="34" t="str">
        <x:v>UCF101; HMDB51; Kinetics-400; Something-Something V2</x:v>
      </x:c>
      <x:c r="G31" s="34" t="str">
        <x:v>Hashtag2Action; UCF101; HMDB51; Kinetics-400; Something-Something V2</x:v>
      </x:c>
      <x:c r="H31" s="36" t="str">
        <x:v>2025</x:v>
      </x:c>
      <x:c r="I31" s="34" t="str">
        <x:v>ICCV Workshops 2025</x:v>
      </x:c>
      <x:c r="J31" s="38" t="str">
        <x:v>No</x:v>
      </x:c>
      <x:c r="K31" s="38" t="str">
        <x:v>peer_reviewed</x:v>
      </x:c>
      <x:c r="L31" s="34" t="str">
        <x:v>10.1109/ICCVW69036.2025.00312</x:v>
      </x:c>
      <x:c r="M31" s="34" t="str"/>
      <x:c r="N31" s="34" t="str">
        <x:v>https://openaccess.thecvf.com/content/ICCV2025W/SVU/html/Qian_Hashtag2Action_Data_Engineering_and_Self-Supervised_Pre-Training_for_Action_Recognition_in_ICCVW_2025_paper.html</x:v>
      </x:c>
      <x:c r="O31" s="34" t="str"/>
      <x:c r="P31" s="34" t="str">
        <x:v>Hashtag2Action contains 283,582 short-form clips in 386 action categories.</x:v>
      </x:c>
      <x:c r="Q31" s="38" t="str">
        <x:v>2026-08-11</x:v>
      </x:c>
    </x:row>
    <x:row r="32" ht="44" customHeight="1">
      <x:c r="A32" s="34" t="str">
        <x:v>Intuitive physics understanding emerges from self-supervised pretraining on natural videos</x:v>
      </x:c>
      <x:c r="B32" s="34" t="str">
        <x:v>Quentin Garrido, Nicolas Ballas, Mahmoud Assran, Adrien Bardes, Laurent Najman, Michael Rabbat, Emmanuel Dupoux, Yann LeCun</x:v>
      </x:c>
      <x:c r="C32" s="34" t="str">
        <x:v>V-JEPA Intuitive-Physics Probing</x:v>
      </x:c>
      <x:c r="D32" s="34" t="str">
        <x:v>Pretext / Predictive</x:v>
      </x:c>
      <x:c r="E32" s="34" t="str">
        <x:v>Kinetics-710; Something-Something V2; HowTo100M</x:v>
      </x:c>
      <x:c r="F32" s="34" t="str">
        <x:v>IntPhys; GRASP; InfLevel-lab</x:v>
      </x:c>
      <x:c r="G32" s="34" t="str">
        <x:v>Kinetics-710; Something-Something V2; HowTo100M; IntPhys; GRASP; InfLevel-lab</x:v>
      </x:c>
      <x:c r="H32" s="36" t="str">
        <x:v>2025</x:v>
      </x:c>
      <x:c r="I32" s="34" t="str">
        <x:v>arXiv preprint</x:v>
      </x:c>
      <x:c r="J32" s="38" t="str">
        <x:v>No</x:v>
      </x:c>
      <x:c r="K32" s="38" t="str">
        <x:v>preprint</x:v>
      </x:c>
      <x:c r="L32" s="34" t="str"/>
      <x:c r="M32" s="34" t="str">
        <x:v>2502.11831</x:v>
      </x:c>
      <x:c r="N32" s="34" t="str">
        <x:v>https://arxiv.org/abs/2502.11831</x:v>
      </x:c>
      <x:c r="O32" s="34" t="str"/>
      <x:c r="P32" s="34" t="str">
        <x:v>The three pretraining sources form the VideoMix2M mixture used by the evaluated V-JEPA model.</x:v>
      </x:c>
      <x:c r="Q32" s="38" t="str">
        <x:v>2026-08-11</x:v>
      </x:c>
    </x:row>
    <x:row r="33" ht="44" customHeight="1">
      <x:c r="A33" s="34" t="str">
        <x:v>Kdhiera: boosting self-supervised masked video modeling via hierarchical knowledge distillation</x:v>
      </x:c>
      <x:c r="B33" s="34" t="str">
        <x:v>Yunlong Wang, Hong Liang, Mingwen Shao &amp; Qian Zhang;</x:v>
      </x:c>
      <x:c r="C33" s="34" t="str">
        <x:v>KDHiera</x:v>
      </x:c>
      <x:c r="D33" s="34" t="str">
        <x:v>Generative / Masked</x:v>
      </x:c>
      <x:c r="E33" s="34" t="str">
        <x:v>Kinetics-400; Something-Something V2</x:v>
      </x:c>
      <x:c r="F33" s="34" t="str">
        <x:v>Kinetics-400; Something-Something V2; AVA</x:v>
      </x:c>
      <x:c r="G33" s="34" t="str">
        <x:v>Kinetics-400; Something-Something V2; AVA</x:v>
      </x:c>
      <x:c r="H33" s="36" t="str">
        <x:v>2025</x:v>
      </x:c>
      <x:c r="I33" s="34" t="str">
        <x:v>Cluster Computing 2025</x:v>
      </x:c>
      <x:c r="J33" s="38" t="str">
        <x:v>No</x:v>
      </x:c>
      <x:c r="K33" s="38" t="str">
        <x:v>peer_reviewed</x:v>
      </x:c>
      <x:c r="L33" s="34" t="str">
        <x:v>10.1007/s10586-025-05262-8</x:v>
      </x:c>
      <x:c r="M33" s="34" t="str"/>
      <x:c r="N33" s="34" t="str">
        <x:v>https://link.springer.com/article/10.1007/s10586-025-05262-8</x:v>
      </x:c>
      <x:c r="O33" s="34" t="str"/>
      <x:c r="P33" s="34" t="str"/>
      <x:c r="Q33" s="38" t="str">
        <x:v>2026-08-11</x:v>
      </x:c>
    </x:row>
    <x:row r="34" ht="44" customHeight="1">
      <x:c r="A34" s="34" t="str">
        <x:v>Label Ranker: Self-aware Preference for Classification Label Position in Visual Masked Self-supervised Pre-trained Model</x:v>
      </x:c>
      <x:c r="B34" s="34" t="str">
        <x:v>Peihao Xiang, Ou Bai</x:v>
      </x:c>
      <x:c r="C34" s="34" t="str">
        <x:v>Label Ranker</x:v>
      </x:c>
      <x:c r="D34" s="34" t="str">
        <x:v>Generative / Masked</x:v>
      </x:c>
      <x:c r="E34" s="34" t="str">
        <x:v>ImageNet-1K; Kinetics-400</x:v>
      </x:c>
      <x:c r="F34" s="34" t="str">
        <x:v>CIFAR-100; UCF101; HMDB51</x:v>
      </x:c>
      <x:c r="G34" s="34" t="str">
        <x:v>ImageNet-1K; Kinetics-400; CIFAR-100; UCF101; HMDB51</x:v>
      </x:c>
      <x:c r="H34" s="36" t="str">
        <x:v>2025</x:v>
      </x:c>
      <x:c r="I34" s="34" t="str">
        <x:v>ICMR 2025</x:v>
      </x:c>
      <x:c r="J34" s="38" t="str">
        <x:v>No</x:v>
      </x:c>
      <x:c r="K34" s="38" t="str">
        <x:v>peer_reviewed</x:v>
      </x:c>
      <x:c r="L34" s="34" t="str">
        <x:v>10.1145/3731715.3733369</x:v>
      </x:c>
      <x:c r="M34" s="34" t="str"/>
      <x:c r="N34" s="34" t="str">
        <x:v>https://dl.acm.org/doi/10.1145/3731715.3733369</x:v>
      </x:c>
      <x:c r="O34" s="34" t="str"/>
      <x:c r="P34" s="34" t="str"/>
      <x:c r="Q34" s="38" t="str">
        <x:v>2026-08-11</x:v>
      </x:c>
    </x:row>
    <x:row r="35" ht="44" customHeight="1">
      <x:c r="A35" s="34" t="str">
        <x:v>Learning Complementary Knowledge via Trusted Multi-view Space Decomposition for Self-Supervised Contrastive Learning</x:v>
      </x:c>
      <x:c r="B35" s="34" t="str">
        <x:v>Jiangmeng Li, Yunze Zhao, Yifan Jin, Changwen Zheng &amp; Wenwen Qiang;</x:v>
      </x:c>
      <x:c r="C35" s="34" t="str">
        <x:v>Trusted Multi-view Decoupled Contrast (TMDC)</x:v>
      </x:c>
      <x:c r="D35" s="34" t="str">
        <x:v>Contrastive</x:v>
      </x:c>
      <x:c r="E35" s="34" t="str">
        <x:v>ImageNet-1K; OGBG-MolBBBP</x:v>
      </x:c>
      <x:c r="F35" s="34" t="str">
        <x:v>ImageNet-1K; OGBG-MolBBBP</x:v>
      </x:c>
      <x:c r="G35" s="34" t="str">
        <x:v>ImageNet-1K; OGBG-MolBBBP</x:v>
      </x:c>
      <x:c r="H35" s="36" t="str">
        <x:v>2025</x:v>
      </x:c>
      <x:c r="I35" s="34" t="str">
        <x:v>Machine Learning 2025</x:v>
      </x:c>
      <x:c r="J35" s="38" t="str">
        <x:v>No</x:v>
      </x:c>
      <x:c r="K35" s="38" t="str">
        <x:v>peer_reviewed</x:v>
      </x:c>
      <x:c r="L35" s="34" t="str">
        <x:v>10.1007/s10994-025-06927-6</x:v>
      </x:c>
      <x:c r="M35" s="34" t="str"/>
      <x:c r="N35" s="34" t="str">
        <x:v>https://link.springer.com/article/10.1007/s10994-025-06927-6</x:v>
      </x:c>
      <x:c r="O35" s="34" t="str"/>
      <x:c r="P35" s="34" t="str">
        <x:v>The accessible publisher material explicitly exposes ImageNet and OGBG-MolBBBP results; the article is not limited to video benchmarks.</x:v>
      </x:c>
      <x:c r="Q35" s="38" t="str">
        <x:v>2026-08-11</x:v>
      </x:c>
    </x:row>
    <x:row r="36" ht="44" customHeight="1">
      <x:c r="A36" s="34" t="str">
        <x:v>Learning from Streaming Video with Orthogonal Gradients</x:v>
      </x:c>
      <x:c r="B36" s="34" t="str">
        <x:v>Tengda Han⋄, Dilara Gokay, Joseph Heyward, Chuhan Zhang, Daniel Zoran, Viorica Patraucean, Joao Carreira, Dima Damen, Andrew Zisserman</x:v>
      </x:c>
      <x:c r="C36" s="34" t="str">
        <x:v>Orthogonal-SGD / Orthogonal-AdamW</x:v>
      </x:c>
      <x:c r="D36" s="34" t="str">
        <x:v>Other / Hybrid</x:v>
      </x:c>
      <x:c r="E36" s="34" t="str">
        <x:v>WalkingTours; Kinetics-400; Something-Something V2; Ego4D-Stream; ScanNet-Stream; ImageNet-21K</x:v>
      </x:c>
      <x:c r="F36" s="34" t="str">
        <x:v>ImageNet-1K; Something-Something V2; Ego4D-Stream; ScanNet-Stream</x:v>
      </x:c>
      <x:c r="G36" s="34" t="str">
        <x:v>WalkingTours; Kinetics-400; Something-Something V2; Ego4D-Stream; ScanNet-Stream; ImageNet-21K; ImageNet-1K</x:v>
      </x:c>
      <x:c r="H36" s="36" t="str">
        <x:v>2025</x:v>
      </x:c>
      <x:c r="I36" s="34" t="str">
        <x:v>CVPR 2025</x:v>
      </x:c>
      <x:c r="J36" s="38" t="str">
        <x:v>No</x:v>
      </x:c>
      <x:c r="K36" s="38" t="str">
        <x:v>peer_reviewed</x:v>
      </x:c>
      <x:c r="L36" s="34" t="str">
        <x:v>10.1109/CVPR52734.2025.01274</x:v>
      </x:c>
      <x:c r="M36" s="34" t="str">
        <x:v>2504.01961</x:v>
      </x:c>
      <x:c r="N36" s="34" t="str">
        <x:v>https://openaccess.thecvf.com/content/CVPR2025/html/Chakraborty_Learning_from_Streaming_Video_with_Orthogonal_Gradients_CVPR_2025_paper.html</x:v>
      </x:c>
      <x:c r="O36" s="34" t="str"/>
      <x:c r="P36" s="34" t="str">
        <x:v>WalkingTours is the paper's Venice walking-tour stream; ImageNet-21K supplies the initialization used in future-prediction experiments.</x:v>
      </x:c>
      <x:c r="Q36" s="38" t="str">
        <x:v>2026-08-11</x:v>
      </x:c>
    </x:row>
    <x:row r="37" ht="44" customHeight="1">
      <x:c r="A37" s="34" t="str">
        <x:v>Learning Video Representations without Natural Videos</x:v>
      </x:c>
      <x:c r="B37" s="34" t="str">
        <x:v>Xueyang Yu, Xinlei Chen, Yossi Gandelsman;</x:v>
      </x:c>
      <x:c r="C37" s="34" t="str">
        <x:v>Synthetic-progression VideoMAE pretraining</x:v>
      </x:c>
      <x:c r="D37" s="34" t="str">
        <x:v>Generative / Masked</x:v>
      </x:c>
      <x:c r="E37" s="34" t="str">
        <x:v>Procedurally generated motion videos; ImageNet-1K static images</x:v>
      </x:c>
      <x:c r="F37" s="34" t="str">
        <x:v>UCF101; HMDB51; UCF101-P; Kinetics-400</x:v>
      </x:c>
      <x:c r="G37" s="34" t="str">
        <x:v>Procedurally generated motion videos; ImageNet-1K static images; UCF101; HMDB51; UCF101-P; Kinetics-400</x:v>
      </x:c>
      <x:c r="H37" s="36" t="str">
        <x:v>2025</x:v>
      </x:c>
      <x:c r="I37" s="34" t="str">
        <x:v>ICCV Workshops 2025</x:v>
      </x:c>
      <x:c r="J37" s="38" t="str">
        <x:v>No</x:v>
      </x:c>
      <x:c r="K37" s="38" t="str">
        <x:v>peer_reviewed</x:v>
      </x:c>
      <x:c r="L37" s="34" t="str"/>
      <x:c r="M37" s="34" t="str">
        <x:v>2410.24213</x:v>
      </x:c>
      <x:c r="N37" s="34" t="str">
        <x:v>https://openreview.net/forum?id=nqDXwTTCWA</x:v>
      </x:c>
      <x:c r="O37" s="34" t="str"/>
      <x:c r="P37" s="34" t="str">
        <x:v>UCF101-P contains 14 out-of-distribution corruption sets.</x:v>
      </x:c>
      <x:c r="Q37" s="38" t="str">
        <x:v>2026-08-11</x:v>
      </x:c>
    </x:row>
    <x:row r="38" ht="44" customHeight="1">
      <x:c r="A38" s="34" t="str">
        <x:v>Mitigating background bias in self-supervised video representation learning</x:v>
      </x:c>
      <x:c r="B38" s="34" t="str">
        <x:v>Arif Akar, Ufuk Umut Senturk &amp; Nazli Ikizler-Cinbis</x:v>
      </x:c>
      <x:c r="C38" s="34" t="str">
        <x:v>MAC-based Background-Debiasing SSL</x:v>
      </x:c>
      <x:c r="D38" s="34" t="str">
        <x:v>Contrastive</x:v>
      </x:c>
      <x:c r="E38" s="34" t="str">
        <x:v>UCF101; HMDB51; Diving48</x:v>
      </x:c>
      <x:c r="F38" s="34" t="str">
        <x:v>UCF101; HMDB51; Diving48</x:v>
      </x:c>
      <x:c r="G38" s="34" t="str">
        <x:v>UCF101; HMDB51; Diving48</x:v>
      </x:c>
      <x:c r="H38" s="36" t="str">
        <x:v>2025</x:v>
      </x:c>
      <x:c r="I38" s="34" t="str">
        <x:v>Signal, Image and Video Processing 2025</x:v>
      </x:c>
      <x:c r="J38" s="38" t="str">
        <x:v>No</x:v>
      </x:c>
      <x:c r="K38" s="38" t="str">
        <x:v>peer_reviewed</x:v>
      </x:c>
      <x:c r="L38" s="34" t="str">
        <x:v>10.1007/s11760-024-03644-w</x:v>
      </x:c>
      <x:c r="M38" s="34" t="str"/>
      <x:c r="N38" s="34" t="str">
        <x:v>https://link.springer.com/article/10.1007/s11760-024-03644-w</x:v>
      </x:c>
      <x:c r="O38" s="34" t="str"/>
      <x:c r="P38" s="34" t="str">
        <x:v>The publisher abstract reports UCF101, HMDB51, and Diving48 under low-resource and full-compute settings.</x:v>
      </x:c>
      <x:c r="Q38" s="38" t="str">
        <x:v>2026-08-11</x:v>
      </x:c>
    </x:row>
    <x:row r="39" ht="44" customHeight="1">
      <x:c r="A39" s="34" t="str">
        <x:v>MME: Video Representation Learning as World Model for Understanding and Planning</x:v>
      </x:c>
      <x:c r="B39" s="34" t="str">
        <x:v>Xinyu Sun, Changhao Li, Chen Jian, Chuang Gan, Peihao Chen, and Mingkui Tan;</x:v>
      </x:c>
      <x:c r="C39" s="34" t="str">
        <x:v>Masked Motion Encoding (MME)</x:v>
      </x:c>
      <x:c r="D39" s="34" t="str">
        <x:v>Generative / Masked</x:v>
      </x:c>
      <x:c r="E39" s="34" t="str">
        <x:v>Kinetics-400; Something-Something V2</x:v>
      </x:c>
      <x:c r="F39" s="34" t="str">
        <x:v>Kinetics-400; Something-Something V2; UCF101; HMDB51; AVA; Robot arm manipulation benchmark</x:v>
      </x:c>
      <x:c r="G39" s="34" t="str">
        <x:v>Kinetics-400; Something-Something V2; UCF101; HMDB51; AVA; Robot arm manipulation benchmark</x:v>
      </x:c>
      <x:c r="H39" s="36" t="str">
        <x:v>2025</x:v>
      </x:c>
      <x:c r="I39" s="34" t="str">
        <x:v>TechRxiv preprint</x:v>
      </x:c>
      <x:c r="J39" s="38" t="str">
        <x:v>No</x:v>
      </x:c>
      <x:c r="K39" s="38" t="str">
        <x:v>preprint</x:v>
      </x:c>
      <x:c r="L39" s="34" t="str">
        <x:v>10.36227/techrxiv.175624509.93122186/v1</x:v>
      </x:c>
      <x:c r="M39" s="34" t="str"/>
      <x:c r="N39" s="34" t="str">
        <x:v>https://www.techrxiv.org/doi/full/10.36227/techrxiv.175624509.93122186</x:v>
      </x:c>
      <x:c r="O39" s="34" t="str"/>
      <x:c r="P39" s="34" t="str">
        <x:v>The accessible primary abstract describes a robot-arm manipulation task but does not name that benchmark.</x:v>
      </x:c>
      <x:c r="Q39" s="38" t="str">
        <x:v>2026-08-11</x:v>
      </x:c>
    </x:row>
    <x:row r="40" ht="44" customHeight="1">
      <x:c r="A40" s="34" t="str">
        <x:v>Motion-driven Adaptive Frame Selection Strategy for Video Action Recognition</x:v>
      </x:c>
      <x:c r="B40" s="34" t="str">
        <x:v>Hao Ding, Chen Guo, Jing Sun, Xiaoping Jiang, Hongling Shi, Jianjin Li</x:v>
      </x:c>
      <x:c r="C40" s="34" t="str">
        <x:v>Motion-Driven Adaptive Frame Selection</x:v>
      </x:c>
      <x:c r="D40" s="34" t="str">
        <x:v>Other / Hybrid</x:v>
      </x:c>
      <x:c r="E40" s="34" t="str">
        <x:v>ImageNet-1K</x:v>
      </x:c>
      <x:c r="F40" s="34" t="str">
        <x:v>Diving48; UCF101; HMDB51</x:v>
      </x:c>
      <x:c r="G40" s="34" t="str">
        <x:v>ImageNet-1K; Diving48; UCF101; HMDB51</x:v>
      </x:c>
      <x:c r="H40" s="36" t="str">
        <x:v>2025</x:v>
      </x:c>
      <x:c r="I40" s="34" t="str">
        <x:v>EURASIP Journal on Image and Video Processing 2025</x:v>
      </x:c>
      <x:c r="J40" s="38" t="str">
        <x:v>No</x:v>
      </x:c>
      <x:c r="K40" s="38" t="str">
        <x:v>peer_reviewed</x:v>
      </x:c>
      <x:c r="L40" s="34" t="str">
        <x:v>10.1186/s13640-025-00675-2</x:v>
      </x:c>
      <x:c r="M40" s="34" t="str"/>
      <x:c r="N40" s="34" t="str">
        <x:v>https://jivp-eurasipjournals.springeropen.com/articles/10.1186/s13640-025-00675-2</x:v>
      </x:c>
      <x:c r="O40" s="34" t="str"/>
      <x:c r="P40" s="34" t="str">
        <x:v>The selector uses an ImageNet-pretrained ResNet-50 backbone and is evaluated on three action-recognition datasets.</x:v>
      </x:c>
      <x:c r="Q40" s="38" t="str">
        <x:v>2026-08-11</x:v>
      </x:c>
    </x:row>
    <x:row r="41" ht="44" customHeight="1">
      <x:c r="A41" s="34" t="str">
        <x:v>OSKAR: Omnimodal Self-supervised Knowledge Abstraction and Representation</x:v>
      </x:c>
      <x:c r="B41" s="34" t="str">
        <x:v>Mohamed O Abdelfattah, Kaouther Messaoud, Alexandre Alahi;</x:v>
      </x:c>
      <x:c r="C41" s="34" t="str">
        <x:v>OSKAR</x:v>
      </x:c>
      <x:c r="D41" s="34" t="str">
        <x:v>Cross-Modal</x:v>
      </x:c>
      <x:c r="E41" s="34" t="str">
        <x:v>OpenHumanVid3</x:v>
      </x:c>
      <x:c r="F41" s="34" t="str">
        <x:v>Kinetics-400; Something-Something V2; NTU RGB+D 60; NTU RGB+D 120; AVA; MSR-VTT; MSVD; VATEX; MSR-VTT-QA; MSVD-QA; TGIF-FrameQA</x:v>
      </x:c>
      <x:c r="G41" s="34" t="str">
        <x:v>OpenHumanVid3; Kinetics-400; Something-Something V2; NTU RGB+D 60; NTU RGB+D 120; AVA; MSR-VTT; MSVD; VATEX; MSR-VTT-QA; MSVD-QA; TGIF-FrameQA</x:v>
      </x:c>
      <x:c r="H41" s="36" t="str">
        <x:v>2025</x:v>
      </x:c>
      <x:c r="I41" s="34" t="str">
        <x:v>NeurIPS 2025</x:v>
      </x:c>
      <x:c r="J41" s="38" t="str">
        <x:v>Yes</x:v>
      </x:c>
      <x:c r="K41" s="38" t="str">
        <x:v>peer_reviewed</x:v>
      </x:c>
      <x:c r="L41" s="34" t="str">
        <x:v>10.52202/085713-0021</x:v>
      </x:c>
      <x:c r="M41" s="34" t="str"/>
      <x:c r="N41" s="34" t="str">
        <x:v>https://papers.nips.cc/paper_files/paper/2025/hash/010ca5a0ccb09cfb554ed637758a08da-Abstract-Conference.html</x:v>
      </x:c>
      <x:c r="O41" s="34" t="str"/>
      <x:c r="P41" s="34" t="str">
        <x:v>The paper samples 10 million OpenHumanVid3 videos and derives pseudo skeleton and caption modalities before downstream evaluation.</x:v>
      </x:c>
      <x:c r="Q41" s="38" t="str">
        <x:v>2026-08-11</x:v>
      </x:c>
    </x:row>
    <x:row r="42" ht="44" customHeight="1">
      <x:c r="A42" s="34" t="str">
        <x:v>Privacy Preservation Using Superimposed 3D-Models for Self-Supervised Training in Action Recognition</x:v>
      </x:c>
      <x:c r="B42" s="34" t="str">
        <x:v>Asfandyar Azhar, Nidhish Shah, Shaurjya Mandal, Yongjie Jessica Zhang;</x:v>
      </x:c>
      <x:c r="C42" s="34" t="str">
        <x:v>Private-MO</x:v>
      </x:c>
      <x:c r="D42" s="34" t="str">
        <x:v>Other / Hybrid</x:v>
      </x:c>
      <x:c r="E42" s="34" t="str">
        <x:v>Kinetics-150; M2M-Kinetics</x:v>
      </x:c>
      <x:c r="F42" s="34" t="str">
        <x:v>UCF101; HMDB51; Diving48; IKEA Furniture Assembly; UAV-Human; VISPR</x:v>
      </x:c>
      <x:c r="G42" s="34" t="str">
        <x:v>Kinetics-150; M2M-Kinetics; UCF101; HMDB51; Diving48; IKEA Furniture Assembly; UAV-Human; VISPR</x:v>
      </x:c>
      <x:c r="H42" s="36" t="str">
        <x:v>2025</x:v>
      </x:c>
      <x:c r="I42" s="34" t="str">
        <x:v>ICCV Workshops 2025</x:v>
      </x:c>
      <x:c r="J42" s="38" t="str">
        <x:v>No</x:v>
      </x:c>
      <x:c r="K42" s="38" t="str">
        <x:v>peer_reviewed</x:v>
      </x:c>
      <x:c r="L42" s="34" t="str">
        <x:v>10.1109/ICCVW69036.2025.00241</x:v>
      </x:c>
      <x:c r="M42" s="34" t="str"/>
      <x:c r="N42" s="34" t="str">
        <x:v>https://openaccess.thecvf.com/content/ICCV2025W/SafeMM-AI/html/Mandal_Privacy_Preservation_Using_Superimposed_3D-Models_for_Self-Supervised_Training_in_Action_ICCVW_2025_paper.html</x:v>
      </x:c>
      <x:c r="O42" s="34" t="str"/>
      <x:c r="P42" s="34" t="str">
        <x:v>Kinetics-150 is curated from Kinetics-400; M2M-Kinetics is the privacy-preserving 3D-overlay version. VISPR denotes the paper's privacy evaluation subset.</x:v>
      </x:c>
      <x:c r="Q42" s="38" t="str">
        <x:v>2026-08-11</x:v>
      </x:c>
    </x:row>
    <x:row r="43" ht="44" customHeight="1">
      <x:c r="A43" s="34" t="str">
        <x:v>Progressive self-supervised spatio-temporal feature learning based on video sequence saliency</x:v>
      </x:c>
      <x:c r="B43" s="34" t="str">
        <x:v>Jinlong Kang, Tao Xu, Boting Qu, Xiang Wang, Xiaoli Lian, Jing Guo, Yuan Gao</x:v>
      </x:c>
      <x:c r="C43" s="34" t="str">
        <x:v>PSSFL-VSS</x:v>
      </x:c>
      <x:c r="D43" s="34" t="str">
        <x:v>Pretext / Predictive</x:v>
      </x:c>
      <x:c r="E43" s="34" t="str">
        <x:v>Kinetics; UCF101; HMDB51</x:v>
      </x:c>
      <x:c r="F43" s="34" t="str">
        <x:v>UCF101; HMDB51; Kinetics</x:v>
      </x:c>
      <x:c r="G43" s="34" t="str">
        <x:v>Kinetics; UCF101; HMDB51</x:v>
      </x:c>
      <x:c r="H43" s="36" t="str">
        <x:v>2025</x:v>
      </x:c>
      <x:c r="I43" s="34" t="str">
        <x:v>Proceedings of SPIE, ICVIP 2024</x:v>
      </x:c>
      <x:c r="J43" s="38" t="str">
        <x:v>No</x:v>
      </x:c>
      <x:c r="K43" s="38" t="str">
        <x:v>peer_reviewed</x:v>
      </x:c>
      <x:c r="L43" s="34" t="str">
        <x:v>10.1117/12.3059113</x:v>
      </x:c>
      <x:c r="M43" s="34" t="str"/>
      <x:c r="N43" s="34" t="str">
        <x:v>https://www.spiedigitallibrary.org/conference-proceedings-of-spie/13558/1355809/Progressive-self-supervised-spatio-temporal-feature-learning-based-on-video/10.1117/12.3059113.short</x:v>
      </x:c>
      <x:c r="O43" s="34" t="str"/>
      <x:c r="P43" s="34" t="str">
        <x:v>The publisher abstract confirms clip/video retrieval and action-recognition experiments. UCF101, HMDB51, and Kinetics are the benchmark definitions present in the publisher metadata; the closed full text prevents a more granular split assignment.</x:v>
      </x:c>
      <x:c r="Q43" s="38" t="str">
        <x:v>2026-08-11</x:v>
      </x:c>
    </x:row>
    <x:row r="44" ht="44" customHeight="1">
      <x:c r="A44" s="34" t="str">
        <x:v>Reinforcement Learning Meets Masked Video Modeling: Trajectory-Guided Adaptive Token Selection</x:v>
      </x:c>
      <x:c r="B44" s="34" t="str">
        <x:v>Ayush K. Rai, Kyle Min, Tarun Krishna, Feiyan Hu, Alan F. Smeaton, Noel E. O'Connor</x:v>
      </x:c>
      <x:c r="C44" s="34" t="str">
        <x:v>Trajectory-Aware Token Selection (TATS)</x:v>
      </x:c>
      <x:c r="D44" s="34" t="str">
        <x:v>Generative / Masked</x:v>
      </x:c>
      <x:c r="E44" s="34" t="str">
        <x:v>Kinetics-400; Something-Something V2</x:v>
      </x:c>
      <x:c r="F44" s="34" t="str">
        <x:v>Kinetics-400; Something-Something V2; UCF101; HMDB51</x:v>
      </x:c>
      <x:c r="G44" s="34" t="str">
        <x:v>Kinetics-400; Something-Something V2; UCF101; HMDB51</x:v>
      </x:c>
      <x:c r="H44" s="36" t="str">
        <x:v>2025</x:v>
      </x:c>
      <x:c r="I44" s="34" t="str">
        <x:v>ICCV Workshops 2025</x:v>
      </x:c>
      <x:c r="J44" s="38" t="str">
        <x:v>No</x:v>
      </x:c>
      <x:c r="K44" s="38" t="str">
        <x:v>peer_reviewed</x:v>
      </x:c>
      <x:c r="L44" s="34" t="str">
        <x:v>10.1109/ICCVW69036.2025.00730</x:v>
      </x:c>
      <x:c r="M44" s="34" t="str">
        <x:v>2505.08561</x:v>
      </x:c>
      <x:c r="N44" s="34" t="str">
        <x:v>https://openaccess.thecvf.com/content/ICCV2025W/LongVid-Foundation/html/K._Reinforcement_Learning_meets_Masked_Video_Modeling__Trajectory-Guided_Adaptive_Token_ICCVW_2025_paper.html</x:v>
      </x:c>
      <x:c r="O44" s="34" t="str"/>
      <x:c r="P44" s="34" t="str"/>
      <x:c r="Q44" s="38" t="str">
        <x:v>2026-08-11</x:v>
      </x:c>
    </x:row>
    <x:row r="45" ht="44" customHeight="1">
      <x:c r="A45" s="34" t="str">
        <x:v>Self-Supervised Learning of Motion Concepts by Optimizing Counterfactuals</x:v>
      </x:c>
      <x:c r="B45" s="34" t="str">
        <x:v>Stefan Stojanov, David Wendt, Seungwoo Kim, Rahul Venkatesh, Kevin Feigelis, Jiajun Wu, Daniel LK Yamins</x:v>
      </x:c>
      <x:c r="C45" s="34" t="str">
        <x:v>Optimized Counterfactual World Models (Opt-CWM)</x:v>
      </x:c>
      <x:c r="D45" s="34" t="str">
        <x:v>Pretext / Predictive</x:v>
      </x:c>
      <x:c r="E45" s="34" t="str">
        <x:v>Kinetics-400</x:v>
      </x:c>
      <x:c r="F45" s="34" t="str">
        <x:v>TAP-Vid DAVIS; TAP-Vid Kinetics; TAP-Vid Kubric</x:v>
      </x:c>
      <x:c r="G45" s="34" t="str">
        <x:v>Kinetics-400; TAP-Vid DAVIS; TAP-Vid Kinetics; TAP-Vid Kubric</x:v>
      </x:c>
      <x:c r="H45" s="36" t="str">
        <x:v>2025</x:v>
      </x:c>
      <x:c r="I45" s="34" t="str">
        <x:v>NeurIPS 2025</x:v>
      </x:c>
      <x:c r="J45" s="38" t="str">
        <x:v>Yes</x:v>
      </x:c>
      <x:c r="K45" s="38" t="str">
        <x:v>peer_reviewed</x:v>
      </x:c>
      <x:c r="L45" s="34" t="str">
        <x:v>10.52202/085713-0921</x:v>
      </x:c>
      <x:c r="M45" s="34" t="str">
        <x:v>2503.19953</x:v>
      </x:c>
      <x:c r="N45" s="34" t="str">
        <x:v>https://openreview.net/forum?id=fGuTN7huo5</x:v>
      </x:c>
      <x:c r="O45" s="34" t="str"/>
      <x:c r="P45" s="34" t="str"/>
      <x:c r="Q45" s="38" t="str">
        <x:v>2026-08-11</x:v>
      </x:c>
    </x:row>
    <x:row r="46" ht="44" customHeight="1">
      <x:c r="A46" s="34" t="str">
        <x:v>Self-supervised video representation learning based on foreground and temporal information.</x:v>
      </x:c>
      <x:c r="B46" s="34" t="str">
        <x:v>Zhongliang Zhou, Jiayong Fang ;</x:v>
      </x:c>
      <x:c r="C46" s="34" t="str">
        <x:v>Foreground and Temporal Information SSL</x:v>
      </x:c>
      <x:c r="D46" s="34" t="str">
        <x:v>Pretext / Predictive</x:v>
      </x:c>
      <x:c r="E46" s="34" t="str">
        <x:v>UCF101; HMDB51; Self-built video dataset</x:v>
      </x:c>
      <x:c r="F46" s="34" t="str">
        <x:v>UCF101; HMDB51; Self-built video dataset</x:v>
      </x:c>
      <x:c r="G46" s="34" t="str">
        <x:v>UCF101; HMDB51; Self-built video dataset</x:v>
      </x:c>
      <x:c r="H46" s="36" t="str">
        <x:v>2025</x:v>
      </x:c>
      <x:c r="I46" s="34" t="str">
        <x:v>Proceedings of SPIE, ETAI 2025</x:v>
      </x:c>
      <x:c r="J46" s="38" t="str">
        <x:v>No</x:v>
      </x:c>
      <x:c r="K46" s="38" t="str">
        <x:v>peer_reviewed</x:v>
      </x:c>
      <x:c r="L46" s="34" t="str">
        <x:v>10.1117/12.3068403</x:v>
      </x:c>
      <x:c r="M46" s="34" t="str"/>
      <x:c r="N46" s="34" t="str">
        <x:v>https://www.spiedigitallibrary.org/conference-proceedings-of-spie/13692/136923T/Self-supervised-video-representation-learning-based-on-foreground-and-temporal/10.1117/12.3068403.short</x:v>
      </x:c>
      <x:c r="O46" s="34" t="str"/>
      <x:c r="P46" s="34" t="str">
        <x:v>The proceedings metadata names UCF101, HMDB51, and an author-built dataset but does not expose a public name for the latter.</x:v>
      </x:c>
      <x:c r="Q46" s="38" t="str">
        <x:v>2026-08-11</x:v>
      </x:c>
    </x:row>
    <x:row r="47" ht="44" customHeight="1">
      <x:c r="A47" s="34" t="str">
        <x:v>SF2T: Self-supervised Fragment Finetuning of Video-LLMs for Fine-Grained Understanding</x:v>
      </x:c>
      <x:c r="B47" s="34" t="str">
        <x:v>Yangliu Hu, Zikai Song, Na Feng, Yawei Luo, Junqing Yu, Yi-Ping Phoebe Chen, Wei Yang; ;</x:v>
      </x:c>
      <x:c r="C47" s="34" t="str">
        <x:v>SF2T</x:v>
      </x:c>
      <x:c r="D47" s="34" t="str">
        <x:v>Cross-Modal</x:v>
      </x:c>
      <x:c r="E47" s="34" t="str">
        <x:v>Something-Something V2; Moments in Time</x:v>
      </x:c>
      <x:c r="F47" s="34" t="str">
        <x:v>FineVidBench; MVBench; Video-MME; TempCompass</x:v>
      </x:c>
      <x:c r="G47" s="34" t="str">
        <x:v>Something-Something V2; Moments in Time; FineVidBench; MVBench; Video-MME; TempCompass</x:v>
      </x:c>
      <x:c r="H47" s="36" t="str">
        <x:v>2025</x:v>
      </x:c>
      <x:c r="I47" s="34" t="str">
        <x:v>CVPR 2025</x:v>
      </x:c>
      <x:c r="J47" s="38" t="str">
        <x:v>No</x:v>
      </x:c>
      <x:c r="K47" s="38" t="str">
        <x:v>peer_reviewed</x:v>
      </x:c>
      <x:c r="L47" s="34" t="str">
        <x:v>10.1109/CVPR52734.2025.02710</x:v>
      </x:c>
      <x:c r="M47" s="34" t="str"/>
      <x:c r="N47" s="34" t="str">
        <x:v>https://openaccess.thecvf.com/content/CVPR2025/html/Hu_SF2T_Self-supervised_Fragment_Finetuning_of_Video-LLMs_for_Fine-Grained_Understanding_CVPR_2025_paper.html</x:v>
      </x:c>
      <x:c r="O47" s="34" t="str"/>
      <x:c r="P47" s="34" t="str">
        <x:v>FineVidBench is assembled from Something-Something V2, Moments in Time, and Ego4D fragments.</x:v>
      </x:c>
      <x:c r="Q47" s="38" t="str">
        <x:v>2026-08-11</x:v>
      </x:c>
    </x:row>
    <x:row r="48" ht="44" customHeight="1">
      <x:c r="A48" s="34" t="str">
        <x:v>SMILE: Infusing Spatial and Motion Semantics in Masked Video Learning</x:v>
      </x:c>
      <x:c r="B48" s="34" t="str">
        <x:v>Fida Mohammad Thoker, Letian Jiang, Chen Zhao†, Bernard Ghanem</x:v>
      </x:c>
      <x:c r="C48" s="34" t="str">
        <x:v>SMILE</x:v>
      </x:c>
      <x:c r="D48" s="34" t="str">
        <x:v>Generative / Masked</x:v>
      </x:c>
      <x:c r="E48" s="34" t="str">
        <x:v>Kinetics-400; Something-Something V2; Places-80K</x:v>
      </x:c>
      <x:c r="F48" s="34" t="str">
        <x:v>Kinetics-400; Something-Something V2; UCF101; HMDB51; FineGYM; GYM99; EPIC-KITCHENS-100; Charades; FX-S1; UB-S1; UCF-RC; DAVIS; YouTube-VOS; THUMOS14; ActivityNet v1.3</x:v>
      </x:c>
      <x:c r="G48" s="34" t="str">
        <x:v>Kinetics-400; Something-Something V2; Places-80K; UCF101; HMDB51; FineGYM; GYM99; EPIC-KITCHENS-100; Charades; FX-S1; UB-S1; UCF-RC; DAVIS; YouTube-VOS; THUMOS14; ActivityNet v1.3</x:v>
      </x:c>
      <x:c r="H48" s="36" t="str">
        <x:v>2025</x:v>
      </x:c>
      <x:c r="I48" s="34" t="str">
        <x:v>CVPR 2025</x:v>
      </x:c>
      <x:c r="J48" s="38" t="str">
        <x:v>No</x:v>
      </x:c>
      <x:c r="K48" s="38" t="str">
        <x:v>peer_reviewed</x:v>
      </x:c>
      <x:c r="L48" s="34" t="str"/>
      <x:c r="M48" s="34" t="str">
        <x:v>2504.00527</x:v>
      </x:c>
      <x:c r="N48" s="34" t="str">
        <x:v>https://openaccess.thecvf.com/content/CVPR2025/html/Thoker_SMILE_Infusing_Spatial_and_Motion_Semantics_in_Masked_Video_Learning_CVPR_2025_paper.html</x:v>
      </x:c>
      <x:c r="O48" s="34" t="str">
        <x:v>https://github.com/fmthoker/SMILE</x:v>
      </x:c>
      <x:c r="P48" s="34" t="str">
        <x:v>Places-80K and noise sources are used in synthetic-motion ablations. The long evaluation list includes the SEVERE robustness suite.</x:v>
      </x:c>
      <x:c r="Q48" s="38" t="str">
        <x:v>2026-08-11</x:v>
      </x:c>
    </x:row>
    <x:row r="49" ht="44" customHeight="1">
      <x:c r="A49" s="34" t="str">
        <x:v>ST-HViT: spatial-temporal hierarchical vision transformer for action recognition</x:v>
      </x:c>
      <x:c r="B49" s="34" t="str">
        <x:v>Limin Xia, Weiye Fu</x:v>
      </x:c>
      <x:c r="C49" s="34" t="str">
        <x:v>ST-HViT</x:v>
      </x:c>
      <x:c r="D49" s="34" t="str">
        <x:v>Generative / Masked</x:v>
      </x:c>
      <x:c r="E49" s="34" t="str">
        <x:v>Kinetics-400; Something-Something V2</x:v>
      </x:c>
      <x:c r="F49" s="34" t="str">
        <x:v>Kinetics-400; Something-Something V2</x:v>
      </x:c>
      <x:c r="G49" s="34" t="str">
        <x:v>Kinetics-400; Something-Something V2</x:v>
      </x:c>
      <x:c r="H49" s="36" t="str">
        <x:v>2025</x:v>
      </x:c>
      <x:c r="I49" s="34" t="str">
        <x:v>Pattern Analysis and Applications 2025</x:v>
      </x:c>
      <x:c r="J49" s="38" t="str">
        <x:v>No</x:v>
      </x:c>
      <x:c r="K49" s="38" t="str">
        <x:v>peer_reviewed</x:v>
      </x:c>
      <x:c r="L49" s="34" t="str">
        <x:v>10.1007/s10044-024-01407-4</x:v>
      </x:c>
      <x:c r="M49" s="34" t="str"/>
      <x:c r="N49" s="34" t="str">
        <x:v>https://link.springer.com/article/10.1007/s10044-024-01407-4</x:v>
      </x:c>
      <x:c r="O49" s="34" t="str"/>
      <x:c r="P49" s="34" t="str"/>
      <x:c r="Q49" s="38" t="str">
        <x:v>2026-08-11</x:v>
      </x:c>
    </x:row>
    <x:row r="50" ht="44" customHeight="1">
      <x:c r="A50" s="34" t="str">
        <x:v>V-JEPA 2: Self-Supervised Video Models Enable Understanding, Prediction and Planning</x:v>
      </x:c>
      <x:c r="B50" s="34" t="str">
        <x:v>Mido Assran, Adrien Bardes, David Fan, Quentin Garrido, Russell Howes, Mojtaba, Komeili, Matthew Muckley, Ammar Rizvi, Claire Roberts, Koustuv Sinha, Artem Zholus, Sergio Arnaud, Abha Gejji, Ada Martin, Francois Robert Hogan, Daniel Dugas, Piotr Bojanowski, Vasil Khalidov, Patrick Labatut, Francisco Massa, Marc Szafraniec, Kapil Krishnakumar, Yong Li, Xiaodong Ma, Sarath Chandar, Franziska Meier, Yann LeCun, Michael Rabbat, Nicolas Ballas ;</x:v>
      </x:c>
      <x:c r="C50" s="34" t="str">
        <x:v>V-JEPA 2 / V-JEPA 2-AC</x:v>
      </x:c>
      <x:c r="D50" s="34" t="str">
        <x:v>Pretext / Predictive</x:v>
      </x:c>
      <x:c r="E50" s="34" t="str">
        <x:v>VideoMix22M; Something-Something V2; Kinetics-400; Kinetics-600; Kinetics-700; HowTo100M; YT-Temporal-1B; ImageNet-1K; DROID</x:v>
      </x:c>
      <x:c r="F50" s="34" t="str">
        <x:v>Something-Something V2; Diving48; Jester; Kinetics-400; COIN; ImageNet-1K; EPIC-KITCHENS-100; Perception Test; MVP; TempCompass; TemporalBench; TOMATO; MVBench; TVBench; DROID</x:v>
      </x:c>
      <x:c r="G50" s="34" t="str">
        <x:v>VideoMix22M; Something-Something V2; Kinetics-400; Kinetics-600; Kinetics-700; HowTo100M; YT-Temporal-1B; ImageNet-1K; DROID; Diving48; Jester; COIN; EPIC-KITCHENS-100; Perception Test; MVP; TempCompass; TemporalBench; TOMATO; MVBench; TVBench</x:v>
      </x:c>
      <x:c r="H50" s="36" t="str">
        <x:v>2025</x:v>
      </x:c>
      <x:c r="I50" s="34" t="str">
        <x:v>arXiv preprint</x:v>
      </x:c>
      <x:c r="J50" s="38" t="str">
        <x:v>No</x:v>
      </x:c>
      <x:c r="K50" s="38" t="str">
        <x:v>preprint</x:v>
      </x:c>
      <x:c r="L50" s="34" t="str"/>
      <x:c r="M50" s="34" t="str">
        <x:v>2506.09985</x:v>
      </x:c>
      <x:c r="N50" s="34" t="str">
        <x:v>https://arxiv.org/abs/2506.09985</x:v>
      </x:c>
      <x:c r="O50" s="34" t="str">
        <x:v>https://github.com/facebookresearch/vjepa2</x:v>
      </x:c>
      <x:c r="P50" s="34" t="str">
        <x:v>VideoMix22M combines the listed image and video sources; DROID is used for action-conditioned robot post-training rather than foundation pretraining.</x:v>
      </x:c>
      <x:c r="Q50" s="38" t="str">
        <x:v>2026-08-11</x:v>
      </x:c>
    </x:row>
    <x:row r="51" ht="44" customHeight="1">
      <x:c r="A51" s="34" t="str">
        <x:v>ViDROP: Video Dense Representation through Spatio-Temporal Sparsity</x:v>
      </x:c>
      <x:c r="B51" s="34" t="str">
        <x:v>Sepehr Sameni, Simon Jenni, Paolo Favaro; ;</x:v>
      </x:c>
      <x:c r="C51" s="34" t="str">
        <x:v>ViDROP</x:v>
      </x:c>
      <x:c r="D51" s="34" t="str">
        <x:v>Generative / Masked</x:v>
      </x:c>
      <x:c r="E51" s="34" t="str">
        <x:v>Kinetics-400</x:v>
      </x:c>
      <x:c r="F51" s="34" t="str">
        <x:v>Kinetics-400; Something-Something V2; UCF101; HMDB51; THUMOS14; ImageNet-1K; DAVIS; VSC23</x:v>
      </x:c>
      <x:c r="G51" s="34" t="str">
        <x:v>Kinetics-400; Something-Something V2; UCF101; HMDB51; THUMOS14; ImageNet-1K; DAVIS; VSC23</x:v>
      </x:c>
      <x:c r="H51" s="36" t="str">
        <x:v>2025</x:v>
      </x:c>
      <x:c r="I51" s="34" t="str">
        <x:v>CVPR Workshops 2025</x:v>
      </x:c>
      <x:c r="J51" s="38" t="str">
        <x:v>No</x:v>
      </x:c>
      <x:c r="K51" s="38" t="str">
        <x:v>peer_reviewed</x:v>
      </x:c>
      <x:c r="L51" s="34" t="str">
        <x:v>10.1109/CVPRW67362.2025.00300</x:v>
      </x:c>
      <x:c r="M51" s="34" t="str"/>
      <x:c r="N51" s="34" t="str">
        <x:v>https://openaccess.thecvf.com/content/CVPR2025W/eLVM/html/Sameni_ViDROP_Video_Dense_Representation_through_Spatio-Temporal_Sparsity_CVPRW_2025_paper.html</x:v>
      </x:c>
      <x:c r="O51" s="34" t="str"/>
      <x:c r="P51" s="34" t="str"/>
      <x:c r="Q51" s="38" t="str">
        <x:v>2026-08-11</x:v>
      </x:c>
    </x:row>
    <x:row r="52" ht="44" customHeight="1">
      <x:c r="A52" s="34" t="str">
        <x:v>When the Future Becomes the Past: Taming Temporal Correspondence for Self-supervised Video Representation Learning</x:v>
      </x:c>
      <x:c r="B52" s="34" t="str">
        <x:v>Yang Liu, Qianqian Xu, Peisong Wen, Siran Dai, Qingming Huang;</x:v>
      </x:c>
      <x:c r="C52" s="34" t="str">
        <x:v>T-CoRe</x:v>
      </x:c>
      <x:c r="D52" s="34" t="str">
        <x:v>Contrastive</x:v>
      </x:c>
      <x:c r="E52" s="34" t="str">
        <x:v>Kinetics-400</x:v>
      </x:c>
      <x:c r="F52" s="34" t="str">
        <x:v>DAVIS 2017; VIP; JHMDB</x:v>
      </x:c>
      <x:c r="G52" s="34" t="str">
        <x:v>Kinetics-400; DAVIS 2017; VIP; JHMDB</x:v>
      </x:c>
      <x:c r="H52" s="36" t="str">
        <x:v>2025</x:v>
      </x:c>
      <x:c r="I52" s="34" t="str">
        <x:v>CVPR 2025</x:v>
      </x:c>
      <x:c r="J52" s="38" t="str">
        <x:v>No</x:v>
      </x:c>
      <x:c r="K52" s="38" t="str">
        <x:v>peer_reviewed</x:v>
      </x:c>
      <x:c r="L52" s="34" t="str">
        <x:v>10.1109/CVPR52734.2025.02238</x:v>
      </x:c>
      <x:c r="M52" s="34" t="str"/>
      <x:c r="N52" s="34" t="str">
        <x:v>https://openaccess.thecvf.com/content/CVPR2025/html/Liu_When_the_Future_Becomes_the_Past_Taming_Temporal_Correspondence_for_CVPR_2025_paper.html</x:v>
      </x:c>
      <x:c r="O52" s="34" t="str"/>
      <x:c r="P52" s="34" t="str"/>
      <x:c r="Q52" s="38" t="str">
        <x:v>2026-08-11</x:v>
      </x:c>
    </x:row>
    <x:row r="53" ht="44" customHeight="1">
      <x:c r="A53" s="34" t="str">
        <x:v>Asymmetric Masked Distillation for Pre-Training Small Foundation Models</x:v>
      </x:c>
      <x:c r="B53" s="34" t="str">
        <x:v>Zhiyu Zhao, Bingkun Huang, Sen Xing, Gangshan Wu, Yu Qiao, Limin Wang</x:v>
      </x:c>
      <x:c r="C53" s="34" t="str">
        <x:v>Asymmetric Masked Distillation (AMD)</x:v>
      </x:c>
      <x:c r="D53" s="34" t="str">
        <x:v>Generative / Masked</x:v>
      </x:c>
      <x:c r="E53" s="34" t="str">
        <x:v>ImageNet-1K; Kinetics-400; Something-Something V2</x:v>
      </x:c>
      <x:c r="F53" s="34" t="str">
        <x:v>ImageNet-1K; Kinetics-400; Something-Something V2; UCF101; HMDB51; AVA v2.2</x:v>
      </x:c>
      <x:c r="G53" s="34" t="str">
        <x:v>ImageNet-1K; Kinetics-400; Something-Something V2; UCF101; HMDB51; AVA v2.2</x:v>
      </x:c>
      <x:c r="H53" s="36" t="str">
        <x:v>2024</x:v>
      </x:c>
      <x:c r="I53" s="34" t="str">
        <x:v>CVPR 2024</x:v>
      </x:c>
      <x:c r="J53" s="38" t="str">
        <x:v>No</x:v>
      </x:c>
      <x:c r="K53" s="38" t="str">
        <x:v>peer_reviewed</x:v>
      </x:c>
      <x:c r="L53" s="34" t="str"/>
      <x:c r="M53" s="34" t="str">
        <x:v>2311.03149</x:v>
      </x:c>
      <x:c r="N53" s="34" t="str">
        <x:v>https://openaccess.thecvf.com/content/CVPR2024/html/Zhao_Asymmetric_Masked_Distillation_for_Pre-Training_Small_Foundation_Models_CVPR_2024_paper.html</x:v>
      </x:c>
      <x:c r="O53" s="34" t="str"/>
      <x:c r="P53" s="34" t="str">
        <x:v>The paper reports an image AMD setting on ImageNet-1K and video AMD settings on Kinetics-400 and Something-Something V2.</x:v>
      </x:c>
      <x:c r="Q53" s="38" t="str">
        <x:v>2026-08-11</x:v>
      </x:c>
    </x:row>
    <x:row r="54" ht="44" customHeight="1">
      <x:c r="A54" s="34" t="str">
        <x:v>Clustering-based multi-featured self-supervised learning for human activities and video retrieval</x:v>
      </x:c>
      <x:c r="B54" s="34" t="str">
        <x:v>Muhammad Hafeez Javed, Zeng Yu, Taha M. Rajeh, Fahad Rafique &amp; Tianrui Li</x:v>
      </x:c>
      <x:c r="C54" s="34" t="str">
        <x:v>CMS2L</x:v>
      </x:c>
      <x:c r="D54" s="34" t="str">
        <x:v>Contrastive</x:v>
      </x:c>
      <x:c r="E54" s="34" t="str">
        <x:v>UCF101; HMDB51</x:v>
      </x:c>
      <x:c r="F54" s="34" t="str">
        <x:v>UCF101; HMDB51</x:v>
      </x:c>
      <x:c r="G54" s="34" t="str">
        <x:v>UCF101; HMDB51</x:v>
      </x:c>
      <x:c r="H54" s="36" t="str">
        <x:v>2024</x:v>
      </x:c>
      <x:c r="I54" s="34" t="str">
        <x:v>Applied Intelligence 2024</x:v>
      </x:c>
      <x:c r="J54" s="38" t="str">
        <x:v>No</x:v>
      </x:c>
      <x:c r="K54" s="38" t="str">
        <x:v>peer_reviewed</x:v>
      </x:c>
      <x:c r="L54" s="34" t="str">
        <x:v>10.1007/s10489-024-05460-8</x:v>
      </x:c>
      <x:c r="M54" s="34" t="str"/>
      <x:c r="N54" s="34" t="str">
        <x:v>https://link.springer.com/article/10.1007/s10489-024-05460-8</x:v>
      </x:c>
      <x:c r="O54" s="34" t="str"/>
      <x:c r="P54" s="34" t="str">
        <x:v>The full-text evaluation figures identify UCF101 and HMDB51 action-recognition and retrieval benchmarks.</x:v>
      </x:c>
      <x:c r="Q54" s="38" t="str">
        <x:v>2026-08-11</x:v>
      </x:c>
    </x:row>
    <x:row r="55" ht="44" customHeight="1">
      <x:c r="A55" s="34" t="str">
        <x:v>Controllable Augmentations for Video Representation Learning</x:v>
      </x:c>
      <x:c r="B55" s="34" t="str">
        <x:v>Rui Qian, Weiyao Lin, John See, Dian Li</x:v>
      </x:c>
      <x:c r="C55" s="34" t="str">
        <x:v>Controllable Augmentations</x:v>
      </x:c>
      <x:c r="D55" s="34" t="str">
        <x:v>Contrastive</x:v>
      </x:c>
      <x:c r="E55" s="34" t="str">
        <x:v>Kinetics-400; UCF101</x:v>
      </x:c>
      <x:c r="F55" s="34" t="str">
        <x:v>Kinetics-400; UCF101; HMDB51; ActivityNet</x:v>
      </x:c>
      <x:c r="G55" s="34" t="str">
        <x:v>Kinetics-400; UCF101; HMDB51; ActivityNet</x:v>
      </x:c>
      <x:c r="H55" s="36" t="str">
        <x:v>2024</x:v>
      </x:c>
      <x:c r="I55" s="34" t="str">
        <x:v>Visual Intelligence 2024</x:v>
      </x:c>
      <x:c r="J55" s="38" t="str">
        <x:v>No</x:v>
      </x:c>
      <x:c r="K55" s="38" t="str">
        <x:v>peer_reviewed</x:v>
      </x:c>
      <x:c r="L55" s="34" t="str">
        <x:v>10.1007/s44267-023-00034-7</x:v>
      </x:c>
      <x:c r="M55" s="34" t="str">
        <x:v>2203.16632</x:v>
      </x:c>
      <x:c r="N55" s="34" t="str">
        <x:v>https://link.springer.com/article/10.1007/s44267-023-00034-7</x:v>
      </x:c>
      <x:c r="O55" s="34" t="str"/>
      <x:c r="P55" s="34" t="str"/>
      <x:c r="Q55" s="38" t="str">
        <x:v>2026-08-11</x:v>
      </x:c>
    </x:row>
    <x:row r="56" ht="44" customHeight="1">
      <x:c r="A56" s="34" t="str">
        <x:v>CycleCL: Self-supervised Learning for Periodic Videos</x:v>
      </x:c>
      <x:c r="B56" s="34" t="str">
        <x:v>Matteo Destro, Michael Gygl</x:v>
      </x:c>
      <x:c r="C56" s="34" t="str">
        <x:v>CycleCL</x:v>
      </x:c>
      <x:c r="D56" s="34" t="str">
        <x:v>Contrastive</x:v>
      </x:c>
      <x:c r="E56" s="34" t="str">
        <x:v>Industrial periodic-motion videos; Countix</x:v>
      </x:c>
      <x:c r="F56" s="34" t="str">
        <x:v>Industrial periodic-motion videos; Countix; QUVA Repetition; PERTUBE</x:v>
      </x:c>
      <x:c r="G56" s="34" t="str">
        <x:v>Industrial periodic-motion videos; Countix; QUVA Repetition; PERTUBE</x:v>
      </x:c>
      <x:c r="H56" s="36" t="str">
        <x:v>2024</x:v>
      </x:c>
      <x:c r="I56" s="34" t="str">
        <x:v>WACV 2024</x:v>
      </x:c>
      <x:c r="J56" s="38" t="str">
        <x:v>No</x:v>
      </x:c>
      <x:c r="K56" s="38" t="str">
        <x:v>peer_reviewed</x:v>
      </x:c>
      <x:c r="L56" s="34" t="str">
        <x:v>10.1109/WACV57701.2024.00284</x:v>
      </x:c>
      <x:c r="M56" s="34" t="str"/>
      <x:c r="N56" s="34" t="str">
        <x:v>https://openaccess.thecvf.com/content/WACV2024/html/Destro_CycleCL_Self-Supervised_Learning_for_Periodic_Videos_WACV_2024_paper.html</x:v>
      </x:c>
      <x:c r="O56" s="34" t="str"/>
      <x:c r="P56" s="34" t="str"/>
      <x:c r="Q56" s="38" t="str">
        <x:v>2026-08-11</x:v>
      </x:c>
    </x:row>
    <x:row r="57" ht="44" customHeight="1">
      <x:c r="A57" s="34" t="str">
        <x:v>Data Collection-free Masked Video Modeling</x:v>
      </x:c>
      <x:c r="B57" s="34" t="str">
        <x:v>Yuchi Ishikawa, Masayoshi Kondo, Yoshimitsu Aoki</x:v>
      </x:c>
      <x:c r="C57" s="34" t="str">
        <x:v>Pseudo Motion Generator (PMG) with masked video modeling</x:v>
      </x:c>
      <x:c r="D57" s="34" t="str">
        <x:v>Generative / Masked</x:v>
      </x:c>
      <x:c r="E57" s="34" t="str">
        <x:v>ImageNet-1K; PASS; FractalDB; Shaders1k; Visual Atom</x:v>
      </x:c>
      <x:c r="F57" s="34" t="str">
        <x:v>UCF101; HMDB51; Mini Something-Something V2; Diving48; IKEA Furniture Assembly; UAV-Human; Kinetics-400</x:v>
      </x:c>
      <x:c r="G57" s="34" t="str">
        <x:v>ImageNet-1K; PASS; FractalDB; Shaders1k; Visual Atom; UCF101; HMDB51; Mini Something-Something V2; Diving48; IKEA Furniture Assembly; UAV-Human; Kinetics-400</x:v>
      </x:c>
      <x:c r="H57" s="36" t="str">
        <x:v>2024</x:v>
      </x:c>
      <x:c r="I57" s="34" t="str">
        <x:v>ECCV 2024</x:v>
      </x:c>
      <x:c r="J57" s="38" t="str">
        <x:v>No</x:v>
      </x:c>
      <x:c r="K57" s="38" t="str">
        <x:v>peer_reviewed</x:v>
      </x:c>
      <x:c r="L57" s="34" t="str">
        <x:v>10.1007/978-3-031-73247-8_3</x:v>
      </x:c>
      <x:c r="M57" s="34" t="str">
        <x:v>2409.06665</x:v>
      </x:c>
      <x:c r="N57" s="34" t="str">
        <x:v>https://www.ecva.net/papers/eccv_2024/papers_ECCV/html/1790_ECCV_2024_paper.php</x:v>
      </x:c>
      <x:c r="O57" s="34" t="str"/>
      <x:c r="P57" s="34" t="str">
        <x:v>PMG is evaluated with real and synthetic static-image sources; the downstream suite includes small, domain-shifted, and large-scale action datasets.</x:v>
      </x:c>
      <x:c r="Q57" s="38" t="str">
        <x:v>2026-08-11</x:v>
      </x:c>
    </x:row>
    <x:row r="58" ht="44" customHeight="1">
      <x:c r="A58" s="34" t="str">
        <x:v>ES3: Evolving Self-Supervised Learning of Robust Audio-Visual Speech Representations</x:v>
      </x:c>
      <x:c r="B58" s="34" t="str">
        <x:v>Yuanhang Zhang, Shuang Yang, Shiguang Shan, Xilin Chen;</x:v>
      </x:c>
      <x:c r="C58" s="34" t="str">
        <x:v>ES3</x:v>
      </x:c>
      <x:c r="D58" s="34" t="str">
        <x:v>Multimodal / Audio-Visual</x:v>
      </x:c>
      <x:c r="E58" s="34" t="str">
        <x:v>LRS2-BBC; LRS3-TED</x:v>
      </x:c>
      <x:c r="F58" s="34" t="str">
        <x:v>LRS2-BBC; LRS3-TED; CAS-VSR-S101</x:v>
      </x:c>
      <x:c r="G58" s="34" t="str">
        <x:v>LRS2-BBC; LRS3-TED; CAS-VSR-S101</x:v>
      </x:c>
      <x:c r="H58" s="36" t="str">
        <x:v>2024</x:v>
      </x:c>
      <x:c r="I58" s="34" t="str">
        <x:v>CVPR 2024</x:v>
      </x:c>
      <x:c r="J58" s="38" t="str">
        <x:v>No</x:v>
      </x:c>
      <x:c r="K58" s="38" t="str">
        <x:v>peer_reviewed</x:v>
      </x:c>
      <x:c r="L58" s="34" t="str">
        <x:v>10.1109/CVPR52733.2024.02556</x:v>
      </x:c>
      <x:c r="M58" s="34" t="str"/>
      <x:c r="N58" s="34" t="str">
        <x:v>https://openaccess.thecvf.com/content/CVPR2024/html/Zhang_ES3_Evolving_Self-Supervised_Learning_of_Robust_Audio-Visual_Speech_Representations_CVPR_2024_paper.html</x:v>
      </x:c>
      <x:c r="O58" s="34" t="str"/>
      <x:c r="P58" s="34" t="str">
        <x:v>The primary configurations use 223 hours of LRS2-BBC and 433 hours of LRS3-TED; VoxCeleb2-En is discussed as an unavailable scale alternative.</x:v>
      </x:c>
      <x:c r="Q58" s="38" t="str">
        <x:v>2026-08-11</x:v>
      </x:c>
    </x:row>
    <x:row r="59" ht="44" customHeight="1">
      <x:c r="A59" s="34" t="str">
        <x:v>EVEREST: Efficient Masked Video Autoencoder by Removing Redundant Spatiotemporal Tokens</x:v>
      </x:c>
      <x:c r="B59" s="34" t="str">
        <x:v>Sunil Hwang, Jaehong Yoon, Youngwan Lee, Sung Ju Hwan</x:v>
      </x:c>
      <x:c r="C59" s="34" t="str">
        <x:v>EVEREST</x:v>
      </x:c>
      <x:c r="D59" s="34" t="str">
        <x:v>Generative / Masked</x:v>
      </x:c>
      <x:c r="E59" s="34" t="str">
        <x:v>Kinetics-400; Something-Something V2; Ego4D</x:v>
      </x:c>
      <x:c r="F59" s="34" t="str">
        <x:v>Kinetics-400; Something-Something V2; UCF101; HMDB51; Ego4D</x:v>
      </x:c>
      <x:c r="G59" s="34" t="str">
        <x:v>Kinetics-400; Something-Something V2; Ego4D; UCF101; HMDB51</x:v>
      </x:c>
      <x:c r="H59" s="36" t="str">
        <x:v>2024</x:v>
      </x:c>
      <x:c r="I59" s="34" t="str">
        <x:v>ICML 2024</x:v>
      </x:c>
      <x:c r="J59" s="38" t="str">
        <x:v>No</x:v>
      </x:c>
      <x:c r="K59" s="38" t="str">
        <x:v>peer_reviewed</x:v>
      </x:c>
      <x:c r="L59" s="34" t="str"/>
      <x:c r="M59" s="34" t="str">
        <x:v>2211.10636</x:v>
      </x:c>
      <x:c r="N59" s="34" t="str">
        <x:v>https://proceedings.mlr.press/v235/hwang24d.html</x:v>
      </x:c>
      <x:c r="O59" s="34" t="str">
        <x:v>https://github.com/sunilhoho/VideoMS</x:v>
      </x:c>
      <x:c r="P59" s="34" t="str"/>
      <x:c r="Q59" s="38" t="str">
        <x:v>2026-08-11</x:v>
      </x:c>
    </x:row>
    <x:row r="60" ht="44" customHeight="1">
      <x:c r="A60" s="34" t="str">
        <x:v>Extending Video Masked Autoencoders to 128 Frames</x:v>
      </x:c>
      <x:c r="B60" s="34" t="str">
        <x:v>Nitesh Bharadwaj Gundavarapu, Luke Friedman, Raghav Goyal, Chaitra Hegde, Eirikur Agustsson, Sagar M. Waghmare, Mikhail Sirotenko, Ming-Hsuan Yang, Tobias Weyand, Boqing Gong, Leonid Sigal</x:v>
      </x:c>
      <x:c r="C60" s="34" t="str">
        <x:v>Long VideoMAE (LVMAE)</x:v>
      </x:c>
      <x:c r="D60" s="34" t="str">
        <x:v>Generative / Masked</x:v>
      </x:c>
      <x:c r="E60" s="34" t="str">
        <x:v>Kinetics-600; Kinetics-710; EPIC-KITCHENS-100; Diving48</x:v>
      </x:c>
      <x:c r="F60" s="34" t="str">
        <x:v>EPIC-KITCHENS-100; Diving48; Something-Something V2; FineGym288</x:v>
      </x:c>
      <x:c r="G60" s="34" t="str">
        <x:v>Kinetics-600; Kinetics-710; EPIC-KITCHENS-100; Diving48; Something-Something V2; FineGym288</x:v>
      </x:c>
      <x:c r="H60" s="36" t="str">
        <x:v>2024</x:v>
      </x:c>
      <x:c r="I60" s="34" t="str">
        <x:v>NeurIPS 2024</x:v>
      </x:c>
      <x:c r="J60" s="38" t="str">
        <x:v>Yes</x:v>
      </x:c>
      <x:c r="K60" s="38" t="str">
        <x:v>peer_reviewed</x:v>
      </x:c>
      <x:c r="L60" s="34" t="str">
        <x:v>10.52202/079017-3856</x:v>
      </x:c>
      <x:c r="M60" s="34" t="str">
        <x:v>2411.13683</x:v>
      </x:c>
      <x:c r="N60" s="34" t="str">
        <x:v>https://proceedings.neurips.cc/paper_files/paper/2024/hash/8f08d4f7b00b763c2553f73d34157b0d-Abstract-Conference.html</x:v>
      </x:c>
      <x:c r="O60" s="34" t="str"/>
      <x:c r="P60" s="34" t="str">
        <x:v>The learned token selector uses Kinetics-600; some long-video training also incorporates unlabeled Kinetics-710 clips.</x:v>
      </x:c>
      <x:c r="Q60" s="38" t="str">
        <x:v>2026-08-11</x:v>
      </x:c>
    </x:row>
    <x:row r="61" ht="44" customHeight="1">
      <x:c r="A61" s="34" t="str">
        <x:v>FILS: Self-Supervised Video Feature Prediction In Semantic Language Space</x:v>
      </x:c>
      <x:c r="B61" s="34" t="str">
        <x:v>Mona Ahmadian, Frank Guerin, Andrew Gilbert</x:v>
      </x:c>
      <x:c r="C61" s="34" t="str">
        <x:v>FILS</x:v>
      </x:c>
      <x:c r="D61" s="34" t="str">
        <x:v>Generative / Masked</x:v>
      </x:c>
      <x:c r="E61" s="34" t="str">
        <x:v>EPIC-KITCHENS-100; Something-Something V2</x:v>
      </x:c>
      <x:c r="F61" s="34" t="str">
        <x:v>EPIC-KITCHENS-100; Something-Something V2; Charades-Ego; EGTEA Gaze+</x:v>
      </x:c>
      <x:c r="G61" s="34" t="str">
        <x:v>EPIC-KITCHENS-100; Something-Something V2; Charades-Ego; EGTEA Gaze+</x:v>
      </x:c>
      <x:c r="H61" s="36" t="str">
        <x:v>2024</x:v>
      </x:c>
      <x:c r="I61" s="34" t="str">
        <x:v>BMVC 2024</x:v>
      </x:c>
      <x:c r="J61" s="38" t="str">
        <x:v>No</x:v>
      </x:c>
      <x:c r="K61" s="38" t="str">
        <x:v>peer_reviewed</x:v>
      </x:c>
      <x:c r="L61" s="34" t="str"/>
      <x:c r="M61" s="34" t="str">
        <x:v>2406.03447</x:v>
      </x:c>
      <x:c r="N61" s="34" t="str">
        <x:v>https://bmva-archive.org.uk/bmvc/2024/papers/Paper_790/paper.pdf</x:v>
      </x:c>
      <x:c r="O61" s="34" t="str"/>
      <x:c r="P61" s="34" t="str"/>
      <x:c r="Q61" s="38" t="str">
        <x:v>2026-08-11</x:v>
      </x:c>
    </x:row>
    <x:row r="62" ht="44" customHeight="1">
      <x:c r="A62" s="34" t="str">
        <x:v>GLOCAL: A self-supervised learning framework for global and local motion estimation</x:v>
      </x:c>
      <x:c r="B62" s="34" t="str">
        <x:v>Yihao Zheng , Kunming Luo , Shuaicheng Liu , Zun Li , Ye Xiang , Lifang Wu , Bing Zeng , Chang Wen Chen</x:v>
      </x:c>
      <x:c r="C62" s="34" t="str">
        <x:v>GLOCAL</x:v>
      </x:c>
      <x:c r="D62" s="34" t="str">
        <x:v>Pretext / Predictive</x:v>
      </x:c>
      <x:c r="E62" s="34" t="str">
        <x:v>Deep Homography Estimation dataset; NCAA; UCF101</x:v>
      </x:c>
      <x:c r="F62" s="34" t="str">
        <x:v>Deep Homography Estimation dataset; NCAA; UCF101</x:v>
      </x:c>
      <x:c r="G62" s="34" t="str">
        <x:v>Deep Homography Estimation dataset; NCAA; UCF101</x:v>
      </x:c>
      <x:c r="H62" s="36" t="str">
        <x:v>2024</x:v>
      </x:c>
      <x:c r="I62" s="34" t="str">
        <x:v>Pattern Recognition Letters 2024</x:v>
      </x:c>
      <x:c r="J62" s="38" t="str">
        <x:v>No</x:v>
      </x:c>
      <x:c r="K62" s="38" t="str">
        <x:v>peer_reviewed</x:v>
      </x:c>
      <x:c r="L62" s="34" t="str">
        <x:v>10.1016/j.patrec.2023.12.024</x:v>
      </x:c>
      <x:c r="M62" s="34" t="str"/>
      <x:c r="N62" s="34" t="str">
        <x:v>https://www.sciencedirect.com/science/article/pii/S016786552300377X</x:v>
      </x:c>
      <x:c r="O62" s="34" t="str"/>
      <x:c r="P62" s="34" t="str"/>
      <x:c r="Q62" s="38" t="str">
        <x:v>2026-08-11</x:v>
      </x:c>
    </x:row>
    <x:row r="63" ht="44" customHeight="1">
      <x:c r="A63" s="34" t="str">
        <x:v>Learning to Predict Activity Progress by Self-Supervised Video Alignment</x:v>
      </x:c>
      <x:c r="B63" s="34" t="str">
        <x:v>Gerard Donahue, Ehsan Elhamifar;</x:v>
      </x:c>
      <x:c r="C63" s="34" t="str">
        <x:v>Generalized Temporal Cycle Consistency (GTCC)</x:v>
      </x:c>
      <x:c r="D63" s="34" t="str">
        <x:v>Pretext / Predictive</x:v>
      </x:c>
      <x:c r="E63" s="34" t="str">
        <x:v>Pouring; Penn Action; COIN; EgoProceL</x:v>
      </x:c>
      <x:c r="F63" s="34" t="str">
        <x:v>Pouring; Penn Action; COIN; EgoProceL; CMU-MMAC; EGTEA Gaze+; MECCANO; EPIC-Tent</x:v>
      </x:c>
      <x:c r="G63" s="34" t="str">
        <x:v>Pouring; Penn Action; COIN; EgoProceL; CMU-MMAC; EGTEA Gaze+; MECCANO; EPIC-Tent</x:v>
      </x:c>
      <x:c r="H63" s="36" t="str">
        <x:v>2024</x:v>
      </x:c>
      <x:c r="I63" s="34" t="str">
        <x:v>CVPR 2024</x:v>
      </x:c>
      <x:c r="J63" s="38" t="str">
        <x:v>No</x:v>
      </x:c>
      <x:c r="K63" s="38" t="str">
        <x:v>peer_reviewed</x:v>
      </x:c>
      <x:c r="L63" s="34" t="str">
        <x:v>10.1109/CVPR52733.2024.01766</x:v>
      </x:c>
      <x:c r="M63" s="34" t="str"/>
      <x:c r="N63" s="34" t="str">
        <x:v>https://openaccess.thecvf.com/content/CVPR2024/html/Donahue_Learning_to_Predict_Activity_Progress_by_Self-Supervised_Video_Alignment_CVPR_2024_paper.html</x:v>
      </x:c>
      <x:c r="O63" s="34" t="str">
        <x:v>https://github.com/gerardDonahue/GTCC_CVPR2024</x:v>
      </x:c>
      <x:c r="P63" s="34" t="str">
        <x:v>EgoProceL aggregates CMU-MMAC, EGTEA Gaze+, MECCANO, and EPIC-Tent procedure videos.</x:v>
      </x:c>
      <x:c r="Q63" s="38" t="str">
        <x:v>2026-08-11</x:v>
      </x:c>
    </x:row>
    <x:row r="64" ht="44" customHeight="1">
      <x:c r="A64" s="34" t="str">
        <x:v>MAR: Masked Autoencoders for Efficient Action Recognition</x:v>
      </x:c>
      <x:c r="B64" s="34" t="str">
        <x:v>Zhiwu Qing, Shiwei Zhang, Ziyuan Huang, Xiang Wang, Yuehuan Wang, Yiliang Lv, Changxin Gao, Nong Sang</x:v>
      </x:c>
      <x:c r="C64" s="34" t="str">
        <x:v>Masked Action Recognition (MAR)</x:v>
      </x:c>
      <x:c r="D64" s="34" t="str">
        <x:v>Generative / Masked</x:v>
      </x:c>
      <x:c r="E64" s="34" t="str">
        <x:v>Kinetics-400; Something-Something V2</x:v>
      </x:c>
      <x:c r="F64" s="34" t="str">
        <x:v>Kinetics-400; Something-Something V2; UCF101; HMDB51</x:v>
      </x:c>
      <x:c r="G64" s="34" t="str">
        <x:v>Kinetics-400; Something-Something V2; UCF101; HMDB51</x:v>
      </x:c>
      <x:c r="H64" s="36" t="str">
        <x:v>2024</x:v>
      </x:c>
      <x:c r="I64" s="34" t="str">
        <x:v>IEEE Transactions on Multimedia 2024</x:v>
      </x:c>
      <x:c r="J64" s="38" t="str">
        <x:v>No</x:v>
      </x:c>
      <x:c r="K64" s="38" t="str">
        <x:v>peer_reviewed</x:v>
      </x:c>
      <x:c r="L64" s="34" t="str">
        <x:v>10.1109/TMM.2023.3263288</x:v>
      </x:c>
      <x:c r="M64" s="34" t="str">
        <x:v>2207.11660</x:v>
      </x:c>
      <x:c r="N64" s="34" t="str">
        <x:v>https://ieeexplore.ieee.org/document/10089159</x:v>
      </x:c>
      <x:c r="O64" s="34" t="str">
        <x:v>https://github.com/alibaba-mmai-research/Masked-Action-Recognition</x:v>
      </x:c>
      <x:c r="P64" s="34" t="str"/>
      <x:c r="Q64" s="38" t="str">
        <x:v>2026-08-11</x:v>
      </x:c>
    </x:row>
    <x:row r="65" ht="44" customHeight="1">
      <x:c r="A65" s="34" t="str">
        <x:v>Motion-guided spatiotemporal multitask feature discrimination for self-supervised video representation learning</x:v>
      </x:c>
      <x:c r="B65" s="34" t="str">
        <x:v>Shuai Bi, Zhengping Hu, Hehao Zhang, Jirui Di, Zhe Sun</x:v>
      </x:c>
      <x:c r="C65" s="34" t="str">
        <x:v>Motion-guided Spatiotemporal Multitask Feature Discrimination</x:v>
      </x:c>
      <x:c r="D65" s="34" t="str">
        <x:v>Contrastive</x:v>
      </x:c>
      <x:c r="E65" s="34" t="str">
        <x:v>Kinetics-400</x:v>
      </x:c>
      <x:c r="F65" s="34" t="str">
        <x:v>Kinetics-400; UCF101; HMDB51</x:v>
      </x:c>
      <x:c r="G65" s="34" t="str">
        <x:v>Kinetics-400; UCF101; HMDB51</x:v>
      </x:c>
      <x:c r="H65" s="36" t="str">
        <x:v>2024</x:v>
      </x:c>
      <x:c r="I65" s="34" t="str">
        <x:v>Pattern Recognition 2024</x:v>
      </x:c>
      <x:c r="J65" s="38" t="str">
        <x:v>No</x:v>
      </x:c>
      <x:c r="K65" s="38" t="str">
        <x:v>peer_reviewed</x:v>
      </x:c>
      <x:c r="L65" s="34" t="str">
        <x:v>10.1016/j.patcog.2024.110713</x:v>
      </x:c>
      <x:c r="M65" s="34" t="str"/>
      <x:c r="N65" s="34" t="str">
        <x:v>https://www.sciencedirect.com/science/article/pii/S0031320324004643</x:v>
      </x:c>
      <x:c r="O65" s="34" t="str"/>
      <x:c r="P65" s="34" t="str"/>
      <x:c r="Q65" s="38" t="str">
        <x:v>2026-08-11</x:v>
      </x:c>
    </x:row>
    <x:row r="66" ht="44" customHeight="1">
      <x:c r="A66" s="34" t="str">
        <x:v>MotionMAE: Self-supervised Video Representation Learning with Motion-Aware Masked Autoencoders</x:v>
      </x:c>
      <x:c r="B66" s="34" t="str">
        <x:v>Haosen Yang, Deng Huang, Bin Wen, Jiannan Wu, Hongxun Yao, Yi Jiang, Xiatian Zhu, Zehuan Yuan</x:v>
      </x:c>
      <x:c r="C66" s="34" t="str">
        <x:v>MotionMAE</x:v>
      </x:c>
      <x:c r="D66" s="34" t="str">
        <x:v>Generative / Masked</x:v>
      </x:c>
      <x:c r="E66" s="34" t="str">
        <x:v>Kinetics-400; Something-Something V2</x:v>
      </x:c>
      <x:c r="F66" s="34" t="str">
        <x:v>Kinetics-400; Something-Something V2; UCF101; HMDB51; DAVIS 2017</x:v>
      </x:c>
      <x:c r="G66" s="34" t="str">
        <x:v>Kinetics-400; Something-Something V2; UCF101; HMDB51; DAVIS 2017</x:v>
      </x:c>
      <x:c r="H66" s="36" t="str">
        <x:v>2024</x:v>
      </x:c>
      <x:c r="I66" s="34" t="str">
        <x:v>BMVC 2024</x:v>
      </x:c>
      <x:c r="J66" s="38" t="str">
        <x:v>No</x:v>
      </x:c>
      <x:c r="K66" s="38" t="str">
        <x:v>peer_reviewed</x:v>
      </x:c>
      <x:c r="L66" s="34" t="str"/>
      <x:c r="M66" s="34" t="str">
        <x:v>2210.04154</x:v>
      </x:c>
      <x:c r="N66" s="34" t="str">
        <x:v>https://bmvc2024.org/proceedings/499/</x:v>
      </x:c>
      <x:c r="O66" s="34" t="str">
        <x:v>https://github.com/happy-hsy/MotionMAE</x:v>
      </x:c>
      <x:c r="P66" s="34" t="str"/>
      <x:c r="Q66" s="38" t="str">
        <x:v>2026-08-11</x:v>
      </x:c>
    </x:row>
    <x:row r="67" ht="44" customHeight="1">
      <x:c r="A67" s="34" t="str">
        <x:v>No More Shortcuts: Realizing the Potential of Temporal Self-Supervision</x:v>
      </x:c>
      <x:c r="B67" s="34" t="str">
        <x:v>Ishan Rajendrakumar Dave, Simon Jenni, Mubarak Shah.</x:v>
      </x:c>
      <x:c r="C67" s="34" t="str">
        <x:v>Out-of-order Frame Localization (OFL) and Time-varying Skiprate Prediction (TSP)</x:v>
      </x:c>
      <x:c r="D67" s="34" t="str">
        <x:v>Pretext / Predictive</x:v>
      </x:c>
      <x:c r="E67" s="34" t="str">
        <x:v>Kinetics-400; UCF101</x:v>
      </x:c>
      <x:c r="F67" s="34" t="str">
        <x:v>UCF101; HMDB51; Kinetics-400; Something-Something V2; NTU RGB+D 60; Charades; HVU; DAVIS 2017; JHMDB; CASIA-B</x:v>
      </x:c>
      <x:c r="G67" s="34" t="str">
        <x:v>Kinetics-400; UCF101; HMDB51; Something-Something V2; NTU RGB+D 60; Charades; HVU; DAVIS 2017; JHMDB; CASIA-B</x:v>
      </x:c>
      <x:c r="H67" s="36" t="str">
        <x:v>2024</x:v>
      </x:c>
      <x:c r="I67" s="34" t="str">
        <x:v>AAAI 2024</x:v>
      </x:c>
      <x:c r="J67" s="38" t="str">
        <x:v>No</x:v>
      </x:c>
      <x:c r="K67" s="38" t="str">
        <x:v>peer_reviewed</x:v>
      </x:c>
      <x:c r="L67" s="34" t="str">
        <x:v>10.1609/aaai.v38i2.27913</x:v>
      </x:c>
      <x:c r="M67" s="34" t="str">
        <x:v>2312.13008</x:v>
      </x:c>
      <x:c r="N67" s="34" t="str">
        <x:v>https://ojs.aaai.org/index.php/AAAI/article/view/27913</x:v>
      </x:c>
      <x:c r="O67" s="34" t="str"/>
      <x:c r="P67" s="34" t="str">
        <x:v>UCF101 is used for core ablations; the main transferable representation is pretrained on Kinetics-400.</x:v>
      </x:c>
      <x:c r="Q67" s="38" t="str">
        <x:v>2026-08-11</x:v>
      </x:c>
    </x:row>
    <x:row r="68" ht="44" customHeight="1">
      <x:c r="A68" s="34" t="str">
        <x:v>Positive and negative sampling strategies for self-supervised learning on audio-video data</x:v>
      </x:c>
      <x:c r="B68" s="34" t="str">
        <x:v>Shanshan Wang, Soumya Tripathy, Toni Heittola, Annamaria Mesaros</x:v>
      </x:c>
      <x:c r="C68" s="34" t="str">
        <x:v>Class-aware soft-positive audio-visual contrastive sampling</x:v>
      </x:c>
      <x:c r="D68" s="34" t="str">
        <x:v>Multimodal / Audio-Visual</x:v>
      </x:c>
      <x:c r="E68" s="34" t="str">
        <x:v>VGGSound</x:v>
      </x:c>
      <x:c r="F68" s="34" t="str">
        <x:v>VGGSound; TAU Urban Audio-Visual Scenes 2021; FSDnoisy18k</x:v>
      </x:c>
      <x:c r="G68" s="34" t="str">
        <x:v>VGGSound; TAU Urban Audio-Visual Scenes 2021; FSDnoisy18k</x:v>
      </x:c>
      <x:c r="H68" s="36" t="str">
        <x:v>2024</x:v>
      </x:c>
      <x:c r="I68" s="34" t="str">
        <x:v>ICASSP Workshops 2024</x:v>
      </x:c>
      <x:c r="J68" s="38" t="str">
        <x:v>No</x:v>
      </x:c>
      <x:c r="K68" s="38" t="str">
        <x:v>peer_reviewed</x:v>
      </x:c>
      <x:c r="L68" s="34" t="str">
        <x:v>10.1109/ICASSPW62465.2024.10626141</x:v>
      </x:c>
      <x:c r="M68" s="34" t="str">
        <x:v>2402.02899</x:v>
      </x:c>
      <x:c r="N68" s="34" t="str">
        <x:v>https://cmsworkshops.com/ICASSP2024/view_paper.php?PaperNum=11780</x:v>
      </x:c>
      <x:c r="O68" s="34" t="str"/>
      <x:c r="P68" s="34" t="str"/>
      <x:c r="Q68" s="38" t="str">
        <x:v>2026-08-11</x:v>
      </x:c>
    </x:row>
    <x:row r="69" ht="44" customHeight="1">
      <x:c r="A69" s="34" t="str">
        <x:v>Repeat and learn: Self-supervised visual representations learning by Repeated Scene Localization</x:v>
      </x:c>
      <x:c r="B69" s="34" t="str">
        <x:v>Yuanhang Zhang, Shuang Yang, Shiguang Shan, Xilin Chen;</x:v>
      </x:c>
      <x:c r="C69" s="34" t="str">
        <x:v>Repeated Scene Localization (RSL)</x:v>
      </x:c>
      <x:c r="D69" s="34" t="str">
        <x:v>Pretext / Predictive</x:v>
      </x:c>
      <x:c r="E69" s="34" t="str">
        <x:v>UCF101; HMDB51</x:v>
      </x:c>
      <x:c r="F69" s="34" t="str">
        <x:v>UCF101; HMDB51</x:v>
      </x:c>
      <x:c r="G69" s="34" t="str">
        <x:v>UCF101; HMDB51</x:v>
      </x:c>
      <x:c r="H69" s="36" t="str">
        <x:v>2024</x:v>
      </x:c>
      <x:c r="I69" s="34" t="str">
        <x:v>Pattern Recognition 2024</x:v>
      </x:c>
      <x:c r="J69" s="38" t="str">
        <x:v>No</x:v>
      </x:c>
      <x:c r="K69" s="38" t="str">
        <x:v>peer_reviewed</x:v>
      </x:c>
      <x:c r="L69" s="34" t="str">
        <x:v>10.1016/j.patcog.2024.110804</x:v>
      </x:c>
      <x:c r="M69" s="34" t="str"/>
      <x:c r="N69" s="34" t="str">
        <x:v>https://www.sciencedirect.com/science/article/pii/S0031320324005557</x:v>
      </x:c>
      <x:c r="O69" s="34" t="str">
        <x:v>https://github.com/Hussein-A-Hassan/RSL-Pretext</x:v>
      </x:c>
      <x:c r="P69" s="34" t="str"/>
      <x:c r="Q69" s="38" t="str">
        <x:v>2026-08-11</x:v>
      </x:c>
    </x:row>
    <x:row r="70" ht="44" customHeight="1">
      <x:c r="A70" s="34" t="str">
        <x:v>Scaling 4D Representations</x:v>
      </x:c>
      <x:c r="B70" s="34" t="str">
        <x:v>João Carreira et al.</x:v>
      </x:c>
      <x:c r="C70" s="34" t="str">
        <x:v>4DS / SimpleMAE scaling study</x:v>
      </x:c>
      <x:c r="D70" s="34" t="str">
        <x:v>Generative / Masked</x:v>
      </x:c>
      <x:c r="E70" s="34" t="str">
        <x:v>170M web videos</x:v>
      </x:c>
      <x:c r="F70" s="34" t="str">
        <x:v>Perception Test; Waymo Open; RealEstate10K; ScanNet; Something-Something V2; Kinetics-700-2020</x:v>
      </x:c>
      <x:c r="G70" s="34" t="str">
        <x:v>170M web videos; Perception Test; Waymo Open; RealEstate10K; ScanNet; Something-Something V2; Kinetics-700-2020</x:v>
      </x:c>
      <x:c r="H70" s="36" t="str">
        <x:v>2024</x:v>
      </x:c>
      <x:c r="I70" s="34" t="str">
        <x:v>arXiv / Preprint</x:v>
      </x:c>
      <x:c r="J70" s="38" t="str">
        <x:v>No</x:v>
      </x:c>
      <x:c r="K70" s="38" t="str">
        <x:v>preprint</x:v>
      </x:c>
      <x:c r="L70" s="34" t="str"/>
      <x:c r="M70" s="34" t="str">
        <x:v>2412.15212</x:v>
      </x:c>
      <x:c r="N70" s="34" t="str">
        <x:v>https://arxiv.org/abs/2412.15212</x:v>
      </x:c>
      <x:c r="O70" s="34" t="str"/>
      <x:c r="P70" s="34" t="str">
        <x:v>The pretraining corpus is described by scale rather than released as a named public dataset.</x:v>
      </x:c>
      <x:c r="Q70" s="38" t="str">
        <x:v>2026-08-11</x:v>
      </x:c>
    </x:row>
    <x:row r="71" ht="44" customHeight="1">
      <x:c r="A71" s="34" t="str">
        <x:v>Self-supervised Learning of Semantic Correspondence Using Web Videos</x:v>
      </x:c>
      <x:c r="B71" s="34" t="str">
        <x:v>Donghyeon Kwon, Minsu Cho, Suha Kwak;</x:v>
      </x:c>
      <x:c r="C71" s="34" t="str">
        <x:v>Web-video correspondence mining with domain adaptation</x:v>
      </x:c>
      <x:c r="D71" s="34" t="str">
        <x:v>Pretext / Predictive</x:v>
      </x:c>
      <x:c r="E71" s="34" t="str">
        <x:v>2,124 class-retrieved web videos</x:v>
      </x:c>
      <x:c r="F71" s="34" t="str">
        <x:v>PF-PASCAL; PF-Willow; SPair-71K</x:v>
      </x:c>
      <x:c r="G71" s="34" t="str">
        <x:v>2,124 class-retrieved web videos; PF-PASCAL; PF-Willow; SPair-71K</x:v>
      </x:c>
      <x:c r="H71" s="36" t="str">
        <x:v>2024</x:v>
      </x:c>
      <x:c r="I71" s="34" t="str">
        <x:v>WACV 2024</x:v>
      </x:c>
      <x:c r="J71" s="38" t="str">
        <x:v>No</x:v>
      </x:c>
      <x:c r="K71" s="38" t="str">
        <x:v>peer_reviewed</x:v>
      </x:c>
      <x:c r="L71" s="34" t="str">
        <x:v>10.1109/WACV57701.2024.00214</x:v>
      </x:c>
      <x:c r="M71" s="34" t="str"/>
      <x:c r="N71" s="34" t="str">
        <x:v>https://openaccess.thecvf.com/content/WACV2024/html/Kwon_Self-Supervised_Learning_of_Semantic_Correspondence_Using_Web_Videos_WACV_2024_paper.html</x:v>
      </x:c>
      <x:c r="O71" s="34" t="str"/>
      <x:c r="P71" s="34" t="str">
        <x:v>The web videos are retrieved using object classes represented in the three target correspondence benchmarks.</x:v>
      </x:c>
      <x:c r="Q71" s="38" t="str">
        <x:v>2026-08-11</x:v>
      </x:c>
    </x:row>
    <x:row r="72" ht="44" customHeight="1">
      <x:c r="A72" s="34" t="str">
        <x:v>Self-supervised learning of video representations from a child's perspective</x:v>
      </x:c>
      <x:c r="B72" s="34" t="str">
        <x:v>A. Emin Orhan, Wentao Wang, Alex N. Wang, Mengye Ren, Brenden M. Lake;</x:v>
      </x:c>
      <x:c r="C72" s="34" t="str">
        <x:v>Spatiotemporal MAE on child-perspective video</x:v>
      </x:c>
      <x:c r="D72" s="34" t="str">
        <x:v>Generative / Masked</x:v>
      </x:c>
      <x:c r="E72" s="34" t="str">
        <x:v>SAYCam; Kinetics-700; Kinetics-200h</x:v>
      </x:c>
      <x:c r="F72" s="34" t="str">
        <x:v>Something-Something V2; Kinetics-700; ImageNet-1K; OOD ImageNet</x:v>
      </x:c>
      <x:c r="G72" s="34" t="str">
        <x:v>SAYCam; Kinetics-700; Kinetics-200h; Something-Something V2; ImageNet-1K; OOD ImageNet</x:v>
      </x:c>
      <x:c r="H72" s="36" t="str">
        <x:v>2024</x:v>
      </x:c>
      <x:c r="I72" s="34" t="str">
        <x:v>CogSci 2024</x:v>
      </x:c>
      <x:c r="J72" s="38" t="str">
        <x:v>No</x:v>
      </x:c>
      <x:c r="K72" s="38" t="str">
        <x:v>peer_reviewed</x:v>
      </x:c>
      <x:c r="L72" s="34" t="str"/>
      <x:c r="M72" s="34" t="str">
        <x:v>2402.00300</x:v>
      </x:c>
      <x:c r="N72" s="34" t="str">
        <x:v>https://escholarship.org/uc/item/5ng8w8tv</x:v>
      </x:c>
      <x:c r="O72" s="34" t="str">
        <x:v>https://github.com/eminorhan/video-models</x:v>
      </x:c>
      <x:c r="P72" s="34" t="str">
        <x:v>OOD ImageNet denotes the 17 perturbation and transformation tasks used by the paper.</x:v>
      </x:c>
      <x:c r="Q72" s="38" t="str">
        <x:v>2026-08-11</x:v>
      </x:c>
    </x:row>
    <x:row r="73" ht="44" customHeight="1">
      <x:c r="A73" s="34" t="str">
        <x:v>Self-Supervised Learning via Multi-Transformation Classification for Action Recognition</x:v>
      </x:c>
      <x:c r="B73" s="34" t="str">
        <x:v>Duc-Quang Vu; Ngan Le; Jia-Ching Wang</x:v>
      </x:c>
      <x:c r="C73" s="34" t="str">
        <x:v>Multi-Transformation Classification</x:v>
      </x:c>
      <x:c r="D73" s="34" t="str">
        <x:v>Pretext / Predictive</x:v>
      </x:c>
      <x:c r="E73" s="34" t="str">
        <x:v>UCF101; HMDB51</x:v>
      </x:c>
      <x:c r="F73" s="34" t="str">
        <x:v>UCF101; HMDB51</x:v>
      </x:c>
      <x:c r="G73" s="34" t="str">
        <x:v>UCF101; HMDB51</x:v>
      </x:c>
      <x:c r="H73" s="36" t="str">
        <x:v>2024</x:v>
      </x:c>
      <x:c r="I73" s="34" t="str">
        <x:v>ICME Workshops 2024</x:v>
      </x:c>
      <x:c r="J73" s="38" t="str">
        <x:v>No</x:v>
      </x:c>
      <x:c r="K73" s="38" t="str">
        <x:v>peer_reviewed</x:v>
      </x:c>
      <x:c r="L73" s="34" t="str">
        <x:v>10.1109/ICMEW63481.2024.10645477</x:v>
      </x:c>
      <x:c r="M73" s="34" t="str">
        <x:v>2102.10378</x:v>
      </x:c>
      <x:c r="N73" s="34" t="str">
        <x:v>https://doi.org/10.1109/ICMEW63481.2024.10645477</x:v>
      </x:c>
      <x:c r="O73" s="34" t="str"/>
      <x:c r="P73" s="34" t="str"/>
      <x:c r="Q73" s="38" t="str">
        <x:v>2026-08-11</x:v>
      </x:c>
    </x:row>
    <x:row r="74" ht="44" customHeight="1">
      <x:c r="A74" s="34" t="str">
        <x:v>Self-supervised Video Object Segmentation with Distillation Learning of Deformable Attention</x:v>
      </x:c>
      <x:c r="B74" s="34" t="str">
        <x:v>Quang-Trung Truong,Duc Thanh Nguyen, Binh-Son Hua, Sai-Kit Yeung</x:v>
      </x:c>
      <x:c r="C74" s="34" t="str">
        <x:v>Deformable-attention distillation for VOS</x:v>
      </x:c>
      <x:c r="D74" s="34" t="str">
        <x:v>Distillation / Teacher-Student</x:v>
      </x:c>
      <x:c r="E74" s="34" t="str">
        <x:v>DAVIS 2016; DAVIS 2017; YouTube-VOS 2018; YouTube-VOS 2019</x:v>
      </x:c>
      <x:c r="F74" s="34" t="str">
        <x:v>DAVIS 2016; DAVIS 2017; YouTube-VOS 2018; YouTube-VOS 2019</x:v>
      </x:c>
      <x:c r="G74" s="34" t="str">
        <x:v>DAVIS 2016; DAVIS 2017; YouTube-VOS 2018; YouTube-VOS 2019</x:v>
      </x:c>
      <x:c r="H74" s="36" t="str">
        <x:v>2024</x:v>
      </x:c>
      <x:c r="I74" s="34" t="str">
        <x:v>arXiv / Preprint</x:v>
      </x:c>
      <x:c r="J74" s="38" t="str">
        <x:v>No</x:v>
      </x:c>
      <x:c r="K74" s="38" t="str">
        <x:v>preprint</x:v>
      </x:c>
      <x:c r="L74" s="34" t="str"/>
      <x:c r="M74" s="34" t="str">
        <x:v>2401.13937</x:v>
      </x:c>
      <x:c r="N74" s="34" t="str">
        <x:v>https://arxiv.org/abs/2401.13937</x:v>
      </x:c>
      <x:c r="O74" s="34" t="str"/>
      <x:c r="P74" s="34" t="str"/>
      <x:c r="Q74" s="38" t="str">
        <x:v>2026-08-11</x:v>
      </x:c>
    </x:row>
    <x:row r="75" ht="44" customHeight="1">
      <x:c r="A75" s="34" t="str">
        <x:v>Self-Supervised Video Representation Learning by Video Incoherence Detection</x:v>
      </x:c>
      <x:c r="B75" s="34" t="str">
        <x:v>Haozhi Cao, Yuecong Xu, Kezhi Mao, Lihua Xie, Jianxiong Yin, Simon See, Qianwen Xu, and Jianfei Yang</x:v>
      </x:c>
      <x:c r="C75" s="34" t="str">
        <x:v>Video Incoherence Detection (VID)</x:v>
      </x:c>
      <x:c r="D75" s="34" t="str">
        <x:v>Pretext / Predictive</x:v>
      </x:c>
      <x:c r="E75" s="34" t="str">
        <x:v>UCF101; HMDB51; Kinetics-400</x:v>
      </x:c>
      <x:c r="F75" s="34" t="str">
        <x:v>UCF101; HMDB51; Kinetics-400</x:v>
      </x:c>
      <x:c r="G75" s="34" t="str">
        <x:v>UCF101; HMDB51; Kinetics-400</x:v>
      </x:c>
      <x:c r="H75" s="36" t="str">
        <x:v>2024</x:v>
      </x:c>
      <x:c r="I75" s="34" t="str">
        <x:v>IEEE Transactions on Cybernetics 2024</x:v>
      </x:c>
      <x:c r="J75" s="38" t="str">
        <x:v>No</x:v>
      </x:c>
      <x:c r="K75" s="38" t="str">
        <x:v>peer_reviewed</x:v>
      </x:c>
      <x:c r="L75" s="34" t="str">
        <x:v>10.1109/TCYB.2023.3265393</x:v>
      </x:c>
      <x:c r="M75" s="34" t="str">
        <x:v>2109.12493</x:v>
      </x:c>
      <x:c r="N75" s="34" t="str">
        <x:v>https://ieeexplore.ieee.org/document/10106103</x:v>
      </x:c>
      <x:c r="O75" s="34" t="str"/>
      <x:c r="P75" s="34" t="str"/>
      <x:c r="Q75" s="38" t="str">
        <x:v>2026-08-11</x:v>
      </x:c>
    </x:row>
    <x:row r="76" ht="44" customHeight="1">
      <x:c r="A76" s="34" t="str">
        <x:v>Self-supervised Video Representation Learning via Capturing Semantic Changes Indicated by Saccades</x:v>
      </x:c>
      <x:c r="B76" s="34" t="str">
        <x:v>Qiuxia Lai, Ailing Zeng, Ye Wang, Lihong Cao, Yu Li, Qiang Xu, IEEE</x:v>
      </x:c>
      <x:c r="C76" s="34" t="str">
        <x:v>Saccade-inspired semantic-change learning</x:v>
      </x:c>
      <x:c r="D76" s="34" t="str">
        <x:v>Contrastive</x:v>
      </x:c>
      <x:c r="E76" s="34" t="str">
        <x:v>UCF101; HMDB51</x:v>
      </x:c>
      <x:c r="F76" s="34" t="str">
        <x:v>UCF101; HMDB51</x:v>
      </x:c>
      <x:c r="G76" s="34" t="str">
        <x:v>UCF101; HMDB51</x:v>
      </x:c>
      <x:c r="H76" s="36" t="str">
        <x:v>2024</x:v>
      </x:c>
      <x:c r="I76" s="34" t="str">
        <x:v>IEEE Transactions on Circuits and Systems for Video Technology 2024</x:v>
      </x:c>
      <x:c r="J76" s="38" t="str">
        <x:v>No</x:v>
      </x:c>
      <x:c r="K76" s="38" t="str">
        <x:v>peer_reviewed</x:v>
      </x:c>
      <x:c r="L76" s="34" t="str">
        <x:v>10.1109/TCSVT.2023.3290938</x:v>
      </x:c>
      <x:c r="M76" s="34" t="str"/>
      <x:c r="N76" s="34" t="str">
        <x:v>https://ieeexplore.ieee.org/document/10168973</x:v>
      </x:c>
      <x:c r="O76" s="34" t="str"/>
      <x:c r="P76" s="34" t="str"/>
      <x:c r="Q76" s="38" t="str">
        <x:v>2026-08-11</x:v>
      </x:c>
    </x:row>
    <x:row r="77" ht="44" customHeight="1">
      <x:c r="A77" s="34" t="str">
        <x:v>SIGMA: Sinkhorn-Guided Masked Video Modeling</x:v>
      </x:c>
      <x:c r="B77" s="34" t="str">
        <x:v>Mohammadreza Salehi, Michael Dorkenwald, Fida Mohammad Thoker, Efstratios Gavves, Cees G. M. Snoek &amp; Yuki M. Asano</x:v>
      </x:c>
      <x:c r="C77" s="34" t="str">
        <x:v>SIGMA</x:v>
      </x:c>
      <x:c r="D77" s="34" t="str">
        <x:v>Generative / Masked</x:v>
      </x:c>
      <x:c r="E77" s="34" t="str">
        <x:v>Kinetics-400; Something-Something V2</x:v>
      </x:c>
      <x:c r="F77" s="34" t="str">
        <x:v>Kinetics-400; Something-Something V2; UCF101; HMDB51; ImageNet-1K; CIFAR-100; FineGym Gym99; FineGym FX-S1; FineGym UB-S1; UCFRep; Charades</x:v>
      </x:c>
      <x:c r="G77" s="34" t="str">
        <x:v>Kinetics-400; Something-Something V2; UCF101; HMDB51; ImageNet-1K; CIFAR-100; FineGym Gym99; FineGym FX-S1; FineGym UB-S1; UCFRep; Charades</x:v>
      </x:c>
      <x:c r="H77" s="36" t="str">
        <x:v>2024</x:v>
      </x:c>
      <x:c r="I77" s="34" t="str">
        <x:v>ECCV 2024</x:v>
      </x:c>
      <x:c r="J77" s="38" t="str">
        <x:v>No</x:v>
      </x:c>
      <x:c r="K77" s="38" t="str">
        <x:v>peer_reviewed</x:v>
      </x:c>
      <x:c r="L77" s="34" t="str">
        <x:v>10.1007/978-3-031-72691-0_17</x:v>
      </x:c>
      <x:c r="M77" s="34" t="str"/>
      <x:c r="N77" s="34" t="str">
        <x:v>https://www.ecva.net/papers/eccv_2024/papers_ECCV/html/3506_ECCV_2024_paper.php</x:v>
      </x:c>
      <x:c r="O77" s="34" t="str">
        <x:v>https://quva-lab.github.io/SIGMA</x:v>
      </x:c>
      <x:c r="P77" s="34" t="str">
        <x:v>The SEVERE suite contributes Gym99, UCF101 and FineGym low-shot tests, FX-S1, UB-S1, UCFRep, and Charades.</x:v>
      </x:c>
      <x:c r="Q77" s="38" t="str">
        <x:v>2026-08-11</x:v>
      </x:c>
    </x:row>
    <x:row r="78" ht="44" customHeight="1">
      <x:c r="A78" s="34" t="str">
        <x:v>ST2ST: Self-Supervised Test-time Adaptation for Video Action Recognition</x:v>
      </x:c>
      <x:c r="B78" s="34" t="str">
        <x:v>Masud An-Nur Islam Fahim, Mohammed Innat, Jani Boutellier;</x:v>
      </x:c>
      <x:c r="C78" s="34" t="str">
        <x:v>ST2ST</x:v>
      </x:c>
      <x:c r="D78" s="34" t="str">
        <x:v>Other / Hybrid</x:v>
      </x:c>
      <x:c r="E78" s="34" t="str">
        <x:v>Kinetics-400; Something-Something V2</x:v>
      </x:c>
      <x:c r="F78" s="34" t="str">
        <x:v>Kinetics-400; Something-Something V2; Kinetics-400-C; Something-Something V2-C</x:v>
      </x:c>
      <x:c r="G78" s="34" t="str">
        <x:v>Kinetics-400; Something-Something V2; Kinetics-400-C; Something-Something V2-C</x:v>
      </x:c>
      <x:c r="H78" s="36" t="str">
        <x:v>2024</x:v>
      </x:c>
      <x:c r="I78" s="34" t="str">
        <x:v>CVPR Workshops 2024</x:v>
      </x:c>
      <x:c r="J78" s="38" t="str">
        <x:v>No</x:v>
      </x:c>
      <x:c r="K78" s="38" t="str">
        <x:v>peer_reviewed</x:v>
      </x:c>
      <x:c r="L78" s="34" t="str">
        <x:v>10.1109/CVPRW63382.2024.00112</x:v>
      </x:c>
      <x:c r="M78" s="34" t="str"/>
      <x:c r="N78" s="34" t="str">
        <x:v>https://openaccess.thecvf.com/content/CVPR2024W/MAT/html/Fahim_ST2ST_Self-Supervised_Test-time_Adaptation_for_Video_Action_Recognition_CVPRW_2024_paper.html</x:v>
      </x:c>
      <x:c r="O78" s="34" t="str"/>
      <x:c r="P78" s="34" t="str"/>
      <x:c r="Q78" s="38" t="str">
        <x:v>2026-08-11</x:v>
      </x:c>
    </x:row>
    <x:row r="79" ht="44" customHeight="1">
      <x:c r="A79" s="34" t="str">
        <x:v>Structured Video-Language Modeling with Temporal Grouping and Spatial Grounding</x:v>
      </x:c>
      <x:c r="B79" s="34" t="str">
        <x:v>Xiong, Y., Zhao, L., Gong, B., Yang, M. H., Schroff, F., Liu, T., ... &amp; Yuan, L.</x:v>
      </x:c>
      <x:c r="C79" s="34" t="str">
        <x:v>S-ViLM</x:v>
      </x:c>
      <x:c r="D79" s="34" t="str">
        <x:v>Multimodal / Audio-Visual</x:v>
      </x:c>
      <x:c r="E79" s="34" t="str">
        <x:v>Kinetics-400; VideoCC; ActivityNet Captions</x:v>
      </x:c>
      <x:c r="F79" s="34" t="str">
        <x:v>MSR-VTT; MSRVTT-QA; MSVD-QA; UCF101; HMDB51; ActivityNet</x:v>
      </x:c>
      <x:c r="G79" s="34" t="str">
        <x:v>Kinetics-400; VideoCC; ActivityNet Captions; MSR-VTT; MSRVTT-QA; MSVD-QA; UCF101; HMDB51; ActivityNet</x:v>
      </x:c>
      <x:c r="H79" s="36" t="str">
        <x:v>2024</x:v>
      </x:c>
      <x:c r="I79" s="34" t="str">
        <x:v>ICLR 2024</x:v>
      </x:c>
      <x:c r="J79" s="38" t="str">
        <x:v>No</x:v>
      </x:c>
      <x:c r="K79" s="38" t="str">
        <x:v>peer_reviewed</x:v>
      </x:c>
      <x:c r="L79" s="34" t="str"/>
      <x:c r="M79" s="34" t="str">
        <x:v>2303.16341</x:v>
      </x:c>
      <x:c r="N79" s="34" t="str">
        <x:v>https://openreview.net/forum?id=5dlfiJIXoh</x:v>
      </x:c>
      <x:c r="O79" s="34" t="str"/>
      <x:c r="P79" s="34" t="str"/>
      <x:c r="Q79" s="38" t="str">
        <x:v>2026-08-11</x:v>
      </x:c>
    </x:row>
    <x:row r="80" ht="44" customHeight="1">
      <x:c r="A80" s="34" t="str">
        <x:v>Text-Guided Video Masked Autoencoder</x:v>
      </x:c>
      <x:c r="B80" s="34" t="str">
        <x:v>David Fan, Jue Wang, Shuai Liao, Zhikang Zhang, Vimal Bhat, Xinyu Li</x:v>
      </x:c>
      <x:c r="C80" s="34" t="str">
        <x:v>Text-Guided Masking (TGM)</x:v>
      </x:c>
      <x:c r="D80" s="34" t="str">
        <x:v>Generative / Masked</x:v>
      </x:c>
      <x:c r="E80" s="34" t="str">
        <x:v>Something-Something V2; Kinetics-400</x:v>
      </x:c>
      <x:c r="F80" s="34" t="str">
        <x:v>Something-Something V2; Kinetics-400; UCF101; HMDB51; Diving48; EPIC-KITCHENS-55</x:v>
      </x:c>
      <x:c r="G80" s="34" t="str">
        <x:v>Something-Something V2; Kinetics-400; UCF101; HMDB51; Diving48; EPIC-KITCHENS-55</x:v>
      </x:c>
      <x:c r="H80" s="36" t="str">
        <x:v>2024</x:v>
      </x:c>
      <x:c r="I80" s="34" t="str">
        <x:v>ECCV 2024</x:v>
      </x:c>
      <x:c r="J80" s="38" t="str">
        <x:v>No</x:v>
      </x:c>
      <x:c r="K80" s="38" t="str">
        <x:v>peer_reviewed</x:v>
      </x:c>
      <x:c r="L80" s="34" t="str">
        <x:v>10.1007/978-3-031-72652-1_17</x:v>
      </x:c>
      <x:c r="M80" s="34" t="str">
        <x:v>2408.00759</x:v>
      </x:c>
      <x:c r="N80" s="34" t="str">
        <x:v>https://www.ecva.net/papers/eccv_2024/papers_ECCV/html/1737_ECCV_2024_paper.php</x:v>
      </x:c>
      <x:c r="O80" s="34" t="str"/>
      <x:c r="P80" s="34" t="str"/>
      <x:c r="Q80" s="38" t="str">
        <x:v>2026-08-11</x:v>
      </x:c>
    </x:row>
    <x:row r="81" ht="44" customHeight="1">
      <x:c r="A81" s="34" t="str">
        <x:v>Towards Latent Masked Image Modeling for Self-supervised Visual Representation Learning</x:v>
      </x:c>
      <x:c r="B81" s="34" t="str">
        <x:v>Yibing Wei, Abhinav Gupta &amp; Pedro Morgado</x:v>
      </x:c>
      <x:c r="C81" s="34" t="str">
        <x:v>Latent MIM</x:v>
      </x:c>
      <x:c r="D81" s="34" t="str">
        <x:v>Generative / Masked</x:v>
      </x:c>
      <x:c r="E81" s="34" t="str">
        <x:v>ImageNet-100; ImageNet-1K</x:v>
      </x:c>
      <x:c r="F81" s="34" t="str">
        <x:v>ImageNet-1K; DAVIS 2017; Caltech101; DTD; Oxford Flowers 102; Oxford-IIIT Pets; Stanford Cars; SUN397; UCF101</x:v>
      </x:c>
      <x:c r="G81" s="34" t="str">
        <x:v>ImageNet-100; ImageNet-1K; DAVIS 2017; Caltech101; DTD; Oxford Flowers 102; Oxford-IIIT Pets; Stanford Cars; SUN397; UCF101</x:v>
      </x:c>
      <x:c r="H81" s="36" t="str">
        <x:v>2024</x:v>
      </x:c>
      <x:c r="I81" s="34" t="str">
        <x:v>ECCV 2024</x:v>
      </x:c>
      <x:c r="J81" s="38" t="str">
        <x:v>No</x:v>
      </x:c>
      <x:c r="K81" s="38" t="str">
        <x:v>peer_reviewed</x:v>
      </x:c>
      <x:c r="L81" s="34" t="str">
        <x:v>10.1007/978-3-031-72933-1_1</x:v>
      </x:c>
      <x:c r="M81" s="34" t="str">
        <x:v>2407.15837</x:v>
      </x:c>
      <x:c r="N81" s="34" t="str">
        <x:v>https://www.ecva.net/papers/eccv_2024/papers_ECCV/html/5568_ECCV_2024_paper.php</x:v>
      </x:c>
      <x:c r="O81" s="34" t="str">
        <x:v>https://github.com/yibingwei-1/LatentMIM</x:v>
      </x:c>
      <x:c r="P81" s="34" t="str"/>
      <x:c r="Q81" s="38" t="str">
        <x:v>2026-08-11</x:v>
      </x:c>
    </x:row>
    <x:row r="82" ht="44" customHeight="1">
      <x:c r="A82" s="34" t="str">
        <x:v>ViC-MAE: Self-supervised Representation Learning from Images and Video with Contrastive Masked Autoencoders</x:v>
      </x:c>
      <x:c r="B82" s="34" t="str">
        <x:v>Jefferson Hernandez, Ruben Villegas, Vicente Ordonez;</x:v>
      </x:c>
      <x:c r="C82" s="34" t="str">
        <x:v>ViC-MAE</x:v>
      </x:c>
      <x:c r="D82" s="34" t="str">
        <x:v>Other / Hybrid</x:v>
      </x:c>
      <x:c r="E82" s="34" t="str">
        <x:v>Moments in Time; Kinetics-400; Kinetics-600; Kinetics-700; Kinetics-710; ImageNet-1K</x:v>
      </x:c>
      <x:c r="F82" s="34" t="str">
        <x:v>ImageNet-1K; Kinetics-400; Something-Something V2; Places365; Caltech101; CIFAR-10; CIFAR-100; DTD; Flowers102; Food101; Oxford-IIIT Pets; SUN397</x:v>
      </x:c>
      <x:c r="G82" s="34" t="str">
        <x:v>Moments in Time; Kinetics-400; Kinetics-600; Kinetics-700; Kinetics-710; ImageNet-1K; Something-Something V2; Places365; Caltech101; CIFAR-10; CIFAR-100; DTD; Flowers102; Food101; Oxford-IIIT Pets; SUN397</x:v>
      </x:c>
      <x:c r="H82" s="36" t="str">
        <x:v>2024</x:v>
      </x:c>
      <x:c r="I82" s="34" t="str">
        <x:v>ECCV 2024</x:v>
      </x:c>
      <x:c r="J82" s="38" t="str">
        <x:v>No</x:v>
      </x:c>
      <x:c r="K82" s="38" t="str">
        <x:v>peer_reviewed</x:v>
      </x:c>
      <x:c r="L82" s="34" t="str">
        <x:v>10.1007/978-3-031-73235-5_25</x:v>
      </x:c>
      <x:c r="M82" s="34" t="str">
        <x:v>2303.12001</x:v>
      </x:c>
      <x:c r="N82" s="34" t="str">
        <x:v>https://www.ecva.net/papers/eccv_2024/papers_ECCV/html/00629_ECCV_2024_paper.php</x:v>
      </x:c>
      <x:c r="O82" s="34" t="str">
        <x:v>https://github.com/jeffhernandez1995/ViC-MAE</x:v>
      </x:c>
      <x:c r="P82" s="34" t="str"/>
      <x:c r="Q82" s="38" t="str">
        <x:v>2026-08-11</x:v>
      </x:c>
    </x:row>
    <x:row r="83" ht="44" customHeight="1">
      <x:c r="A83" s="34" t="str">
        <x:v>VicTR: Video-conditioned Text Representations for Activity Recognition</x:v>
      </x:c>
      <x:c r="B83" s="34" t="str">
        <x:v>Kumara Kahatapitiya, Anurag Arnab, Arsha Nagrani, Michael S. Ryoo</x:v>
      </x:c>
      <x:c r="C83" s="34" t="str">
        <x:v>VicTR</x:v>
      </x:c>
      <x:c r="D83" s="34" t="str">
        <x:v>Multimodal / Audio-Visual</x:v>
      </x:c>
      <x:c r="E83" s="34" t="str">
        <x:v>Kinetics-400</x:v>
      </x:c>
      <x:c r="F83" s="34" t="str">
        <x:v>HMDB51; UCF101; Kinetics-400; Charades</x:v>
      </x:c>
      <x:c r="G83" s="34" t="str">
        <x:v>Kinetics-400; HMDB51; UCF101; Charades</x:v>
      </x:c>
      <x:c r="H83" s="36" t="str">
        <x:v>2024</x:v>
      </x:c>
      <x:c r="I83" s="34" t="str">
        <x:v>CVPR 2024</x:v>
      </x:c>
      <x:c r="J83" s="38" t="str">
        <x:v>No</x:v>
      </x:c>
      <x:c r="K83" s="38" t="str">
        <x:v>peer_reviewed</x:v>
      </x:c>
      <x:c r="L83" s="34" t="str"/>
      <x:c r="M83" s="34" t="str">
        <x:v>2304.02560</x:v>
      </x:c>
      <x:c r="N83" s="34" t="str">
        <x:v>https://openaccess.thecvf.com/content/CVPR2024/html/Kahatapitiya_VicTR_Video-conditioned_Text_Representations_for_Activity_Recognition_CVPR_2024_paper.html</x:v>
      </x:c>
      <x:c r="O83" s="34" t="str"/>
      <x:c r="P83" s="34" t="str"/>
      <x:c r="Q83" s="38" t="str">
        <x:v>2026-08-11</x:v>
      </x:c>
    </x:row>
    <x:row r="84" ht="44" customHeight="1">
      <x:c r="A84" s="34" t="str">
        <x:v>Video Compression and Action Recognition in Self-supervised Learning</x:v>
      </x:c>
      <x:c r="B84" s="34" t="str">
        <x:v>Zongbo Hao; Conghui Hao; Kecheng He</x:v>
      </x:c>
      <x:c r="C84" s="34" t="str">
        <x:v>Spatiotemporal-context auxiliary learning for compression and recognition</x:v>
      </x:c>
      <x:c r="D84" s="34" t="str">
        <x:v>Pretext / Predictive</x:v>
      </x:c>
      <x:c r="E84" s="34" t="str">
        <x:v>UCF101</x:v>
      </x:c>
      <x:c r="F84" s="34" t="str">
        <x:v>UCF101</x:v>
      </x:c>
      <x:c r="G84" s="34" t="str">
        <x:v>UCF101</x:v>
      </x:c>
      <x:c r="H84" s="36" t="str">
        <x:v>2024</x:v>
      </x:c>
      <x:c r="I84" s="34" t="str">
        <x:v>IPEC 2024</x:v>
      </x:c>
      <x:c r="J84" s="38" t="str">
        <x:v>No</x:v>
      </x:c>
      <x:c r="K84" s="38" t="str">
        <x:v>peer_reviewed</x:v>
      </x:c>
      <x:c r="L84" s="34" t="str">
        <x:v>10.1109/IPEC61310.2024.00022</x:v>
      </x:c>
      <x:c r="M84" s="34" t="str"/>
      <x:c r="N84" s="34" t="str">
        <x:v>https://ieeexplore.ieee.org/document/10695541</x:v>
      </x:c>
      <x:c r="O84" s="34" t="str"/>
      <x:c r="P84" s="34" t="str">
        <x:v>The accessible IEEE abstract explicitly identifies UCF101; no second named dataset is exposed in the accessible primary-source metadata, so none is guessed.</x:v>
      </x:c>
      <x:c r="Q84" s="38" t="str">
        <x:v>2026-08-11</x:v>
      </x:c>
    </x:row>
    <x:row r="85" ht="44" customHeight="1">
      <x:c r="A85" s="34" t="str">
        <x:v>VideoMAC: Video Masked Autoencoders Meet ConvNets</x:v>
      </x:c>
      <x:c r="B85" s="34" t="str">
        <x:v>Gensheng Pei, Tao Chen, Xiruo Jiang, Huafeng Liu, Zeren Sun, Yazhou Yao</x:v>
      </x:c>
      <x:c r="C85" s="34" t="str">
        <x:v>VideoMAC</x:v>
      </x:c>
      <x:c r="D85" s="34" t="str">
        <x:v>Generative / Masked</x:v>
      </x:c>
      <x:c r="E85" s="34" t="str">
        <x:v>Kinetics-400</x:v>
      </x:c>
      <x:c r="F85" s="34" t="str">
        <x:v>DAVIS 2017; VIP; JHMDB</x:v>
      </x:c>
      <x:c r="G85" s="34" t="str">
        <x:v>Kinetics-400; DAVIS 2017; VIP; JHMDB</x:v>
      </x:c>
      <x:c r="H85" s="36" t="str">
        <x:v>2024</x:v>
      </x:c>
      <x:c r="I85" s="34" t="str">
        <x:v>CVPR 2024</x:v>
      </x:c>
      <x:c r="J85" s="38" t="str">
        <x:v>No</x:v>
      </x:c>
      <x:c r="K85" s="38" t="str">
        <x:v>peer_reviewed</x:v>
      </x:c>
      <x:c r="L85" s="34" t="str">
        <x:v>10.1109/CVPR52733.2024.02145</x:v>
      </x:c>
      <x:c r="M85" s="34" t="str"/>
      <x:c r="N85" s="34" t="str">
        <x:v>https://openaccess.thecvf.com/content/CVPR2024/html/Pei_VideoMAC_Video_Masked_Autoencoders_Meet_ConvNets_CVPR_2024_paper.html</x:v>
      </x:c>
      <x:c r="O85" s="34" t="str"/>
      <x:c r="P85" s="34" t="str"/>
      <x:c r="Q85" s="38" t="str">
        <x:v>2026-08-11</x:v>
      </x:c>
    </x:row>
    <x:row r="86" ht="44" customHeight="1">
      <x:c r="A86" s="34" t="str">
        <x:v>What When and Where? Self-Supervised Spatio-Temporal Grounding in Untrimmed Multi-Action Videos from Narrated Instructions</x:v>
      </x:c>
      <x:c r="B86" s="34" t="str">
        <x:v>Brian Chen, Nina Shvetsova, Andrew Rouditchenko, Daniel Kondermann, Samuel Thomas, Shih-Fu Chang, Rogerio Feris, James Glass, Hilde Kuehne</x:v>
      </x:c>
      <x:c r="C86" s="34" t="str">
        <x:v>Self-supervised narrated spatiotemporal grounding</x:v>
      </x:c>
      <x:c r="D86" s="34" t="str">
        <x:v>Multimodal / Audio-Visual</x:v>
      </x:c>
      <x:c r="E86" s="34" t="str">
        <x:v>HowTo100M</x:v>
      </x:c>
      <x:c r="F86" s="34" t="str">
        <x:v>MiningYouTube; YouCook-Interactions; YouCook2</x:v>
      </x:c>
      <x:c r="G86" s="34" t="str">
        <x:v>HowTo100M; MiningYouTube; YouCook-Interactions; YouCook2</x:v>
      </x:c>
      <x:c r="H86" s="36" t="str">
        <x:v>2024</x:v>
      </x:c>
      <x:c r="I86" s="34" t="str">
        <x:v>CVPR 2024</x:v>
      </x:c>
      <x:c r="J86" s="38" t="str">
        <x:v>No</x:v>
      </x:c>
      <x:c r="K86" s="38" t="str">
        <x:v>peer_reviewed</x:v>
      </x:c>
      <x:c r="L86" s="34" t="str">
        <x:v>10.1109/CVPR52733.2024.01743</x:v>
      </x:c>
      <x:c r="M86" s="34" t="str"/>
      <x:c r="N86" s="34" t="str">
        <x:v>https://openaccess.thecvf.com/content/CVPR2024/html/Chen_What_When_and_Where_Self-Supervised_Spatio-Temporal_Grounding_in_Untrimmed_Multi-Action_CVPR_2024_paper.html</x:v>
      </x:c>
      <x:c r="O86" s="34" t="str"/>
      <x:c r="P86" s="34" t="str">
        <x:v>MiningYouTube is introduced by the paper with more than 5,000 events across 250 multi-action videos.</x:v>
      </x:c>
      <x:c r="Q86" s="38" t="str">
        <x:v>2026-08-11</x:v>
      </x:c>
    </x:row>
    <x:row r="87" ht="44" customHeight="1">
      <x:c r="A87" s="34" t="str">
        <x:v>XKD: Cross-modal Knowledge Distillation with Domain Alignment for Video Representation Learning</x:v>
      </x:c>
      <x:c r="B87" s="34" t="str">
        <x:v>Pritam Sarkar, Ali Etemad</x:v>
      </x:c>
      <x:c r="C87" s="34" t="str">
        <x:v>XKD</x:v>
      </x:c>
      <x:c r="D87" s="34" t="str">
        <x:v>Multimodal / Audio-Visual</x:v>
      </x:c>
      <x:c r="E87" s="34" t="str">
        <x:v>Kinetics-Sounds; Kinetics-400; AudioSet</x:v>
      </x:c>
      <x:c r="F87" s="34" t="str">
        <x:v>Kinetics-400; UCF101; HMDB51; Kinetics-Sounds; ESC-50; FSD50K</x:v>
      </x:c>
      <x:c r="G87" s="34" t="str">
        <x:v>Kinetics-Sounds; Kinetics-400; AudioSet; UCF101; HMDB51; ESC-50; FSD50K</x:v>
      </x:c>
      <x:c r="H87" s="36" t="str">
        <x:v>2024</x:v>
      </x:c>
      <x:c r="I87" s="34" t="str">
        <x:v>AAAI 2024</x:v>
      </x:c>
      <x:c r="J87" s="38" t="str">
        <x:v>No</x:v>
      </x:c>
      <x:c r="K87" s="38" t="str">
        <x:v>peer_reviewed</x:v>
      </x:c>
      <x:c r="L87" s="34" t="str">
        <x:v>10.1609/aaai.v38i13.29407</x:v>
      </x:c>
      <x:c r="M87" s="34" t="str">
        <x:v>2211.13929</x:v>
      </x:c>
      <x:c r="N87" s="34" t="str">
        <x:v>https://ojs.aaai.org/index.php/AAAI/article/view/29407</x:v>
      </x:c>
      <x:c r="O87" s="34" t="str">
        <x:v>https://github.com/pritamqu/XKD</x:v>
      </x:c>
      <x:c r="P87" s="34" t="str"/>
      <x:c r="Q87" s="38" t="str">
        <x:v>2026-08-11</x:v>
      </x:c>
    </x:row>
    <x:row r="88" ht="44" customHeight="1">
      <x:c r="A88" s="34" t="str">
        <x:v>AdaMAE: Adaptive Masking for Efficient Spatiotemporal Learning with Masked Autoencoders</x:v>
      </x:c>
      <x:c r="B88" s="34" t="str">
        <x:v>Wele Gedara Chaminda Bandara, Naman Patel, Ali Gholami, Mehdi Nikkhah, Motilal Agrawal, Vishal M. Patel</x:v>
      </x:c>
      <x:c r="C88" s="34" t="str">
        <x:v>AdaMAE</x:v>
      </x:c>
      <x:c r="D88" s="34" t="str">
        <x:v>Generative / Masked</x:v>
      </x:c>
      <x:c r="E88" s="34" t="str">
        <x:v>Something-Something V2; Kinetics-400</x:v>
      </x:c>
      <x:c r="F88" s="34" t="str">
        <x:v>Something-Something V2; Kinetics-400</x:v>
      </x:c>
      <x:c r="G88" s="34" t="str">
        <x:v>Something-Something V2; Kinetics-400</x:v>
      </x:c>
      <x:c r="H88" s="36" t="str">
        <x:v>2023</x:v>
      </x:c>
      <x:c r="I88" s="34" t="str">
        <x:v>CVPR 2023</x:v>
      </x:c>
      <x:c r="J88" s="38" t="str">
        <x:v>No</x:v>
      </x:c>
      <x:c r="K88" s="38" t="str">
        <x:v>peer_reviewed</x:v>
      </x:c>
      <x:c r="L88" s="34" t="str"/>
      <x:c r="M88" s="34" t="str">
        <x:v>2211.09120</x:v>
      </x:c>
      <x:c r="N88" s="34" t="str">
        <x:v>https://openaccess.thecvf.com/content/CVPR2023/html/Bandara_AdaMAE_Adaptive_Masking_for_Efficient_Spatiotemporal_Learning_With_Masked_Autoencoders_CVPR_2023_paper.html</x:v>
      </x:c>
      <x:c r="O88" s="34" t="str"/>
      <x:c r="P88" s="34" t="str"/>
      <x:c r="Q88" s="38" t="str">
        <x:v>2026-08-11</x:v>
      </x:c>
    </x:row>
    <x:row r="89" ht="44" customHeight="1">
      <x:c r="A89" s="34" t="str">
        <x:v>Attentive spatial-temporal contrastive learning for self-supervised video representation</x:v>
      </x:c>
      <x:c r="B89" s="34" t="str">
        <x:v>Xingming Yang, Sixuan Xiong, Kewei Wu, Dongfeng Shan, Zhao Xie</x:v>
      </x:c>
      <x:c r="C89" s="34" t="str">
        <x:v>ASTCNet</x:v>
      </x:c>
      <x:c r="D89" s="34" t="str">
        <x:v>Contrastive</x:v>
      </x:c>
      <x:c r="E89" s="34" t="str">
        <x:v>UCF101; HMDB51</x:v>
      </x:c>
      <x:c r="F89" s="34" t="str">
        <x:v>UCF101; HMDB51</x:v>
      </x:c>
      <x:c r="G89" s="34" t="str">
        <x:v>UCF101; HMDB51</x:v>
      </x:c>
      <x:c r="H89" s="36" t="str">
        <x:v>2023</x:v>
      </x:c>
      <x:c r="I89" s="34" t="str">
        <x:v>Image and Vision Computing 2023</x:v>
      </x:c>
      <x:c r="J89" s="38" t="str">
        <x:v>No</x:v>
      </x:c>
      <x:c r="K89" s="38" t="str">
        <x:v>peer_reviewed</x:v>
      </x:c>
      <x:c r="L89" s="34" t="str">
        <x:v>10.1016/j.imavis.2023.104765</x:v>
      </x:c>
      <x:c r="M89" s="34" t="str"/>
      <x:c r="N89" s="34" t="str">
        <x:v>https://www.sciencedirect.com/science/article/pii/S0262885623001397</x:v>
      </x:c>
      <x:c r="O89" s="34" t="str"/>
      <x:c r="P89" s="34" t="str"/>
      <x:c r="Q89" s="38" t="str">
        <x:v>2026-08-11</x:v>
      </x:c>
    </x:row>
    <x:row r="90" ht="44" customHeight="1">
      <x:c r="A90" s="34" t="str">
        <x:v>Audio-Visual Contrastive Learning with Temporal Self-Supervision</x:v>
      </x:c>
      <x:c r="B90" s="34" t="str">
        <x:v>Simon Jenni, Alexander Black, and John Collomosse</x:v>
      </x:c>
      <x:c r="C90" s="34" t="str">
        <x:v>Audio-visual contrastive learning with temporal self-supervision</x:v>
      </x:c>
      <x:c r="D90" s="34" t="str">
        <x:v>Multimodal / Audio-Visual</x:v>
      </x:c>
      <x:c r="E90" s="34" t="str">
        <x:v>Kinetics-600; Kinetics-400</x:v>
      </x:c>
      <x:c r="F90" s="34" t="str">
        <x:v>UCF101; HMDB51; ESC-50; VGGSound; Kinetics-600</x:v>
      </x:c>
      <x:c r="G90" s="34" t="str">
        <x:v>Kinetics-600; Kinetics-400; UCF101; HMDB51; ESC-50; VGGSound</x:v>
      </x:c>
      <x:c r="H90" s="36" t="str">
        <x:v>2023</x:v>
      </x:c>
      <x:c r="I90" s="34" t="str">
        <x:v>AAAI 2023</x:v>
      </x:c>
      <x:c r="J90" s="38" t="str">
        <x:v>No</x:v>
      </x:c>
      <x:c r="K90" s="38" t="str">
        <x:v>peer_reviewed</x:v>
      </x:c>
      <x:c r="L90" s="34" t="str">
        <x:v>10.1609/aaai.v37i7.25967</x:v>
      </x:c>
      <x:c r="M90" s="34" t="str">
        <x:v>2302.07702</x:v>
      </x:c>
      <x:c r="N90" s="34" t="str">
        <x:v>https://ojs.aaai.org/index.php/AAAI/article/view/25967</x:v>
      </x:c>
      <x:c r="O90" s="34" t="str"/>
      <x:c r="P90" s="34" t="str"/>
      <x:c r="Q90" s="38" t="str">
        <x:v>2026-08-11</x:v>
      </x:c>
    </x:row>
    <x:row r="91" ht="44" customHeight="1">
      <x:c r="A91" s="34" t="str">
        <x:v>AV-MaskEnhancer: Enhancing Video Representations through Audio-Visual Masked Autoencoder</x:v>
      </x:c>
      <x:c r="B91" s="34" t="str">
        <x:v>Xingjian Diao, Ming Cheng, Shitong Cheng</x:v>
      </x:c>
      <x:c r="C91" s="34" t="str">
        <x:v>AV-MaskEnhancer</x:v>
      </x:c>
      <x:c r="D91" s="34" t="str">
        <x:v>Multimodal / Audio-Visual</x:v>
      </x:c>
      <x:c r="E91" s="34" t="str">
        <x:v>Kinetics-400</x:v>
      </x:c>
      <x:c r="F91" s="34" t="str">
        <x:v>UCF101</x:v>
      </x:c>
      <x:c r="G91" s="34" t="str">
        <x:v>Kinetics-400; UCF101</x:v>
      </x:c>
      <x:c r="H91" s="36" t="str">
        <x:v>2023</x:v>
      </x:c>
      <x:c r="I91" s="34" t="str">
        <x:v>ICTAI 2023</x:v>
      </x:c>
      <x:c r="J91" s="38" t="str">
        <x:v>No</x:v>
      </x:c>
      <x:c r="K91" s="38" t="str">
        <x:v>peer_reviewed</x:v>
      </x:c>
      <x:c r="L91" s="34" t="str"/>
      <x:c r="M91" s="34" t="str">
        <x:v>2309.08738</x:v>
      </x:c>
      <x:c r="N91" s="34" t="str">
        <x:v>https://ieeexplore.ieee.org/document/10356561</x:v>
      </x:c>
      <x:c r="O91" s="34" t="str"/>
      <x:c r="P91" s="34" t="str"/>
      <x:c r="Q91" s="38" t="str">
        <x:v>2026-08-11</x:v>
      </x:c>
    </x:row>
    <x:row r="92" ht="44" customHeight="1">
      <x:c r="A92" s="34" t="str">
        <x:v>Cali-NCE: Boosting Cross-Modal Video Representation Learning With Calibrated Alignment</x:v>
      </x:c>
      <x:c r="B92" s="34" t="str">
        <x:v>Zhao, N., Jiao, J., Xie, W., &amp; Lin, D.</x:v>
      </x:c>
      <x:c r="C92" s="34" t="str">
        <x:v>Cali-NCE</x:v>
      </x:c>
      <x:c r="D92" s="34" t="str">
        <x:v>Multimodal / Audio-Visual</x:v>
      </x:c>
      <x:c r="E92" s="34" t="str">
        <x:v>WebVid-2M</x:v>
      </x:c>
      <x:c r="F92" s="34" t="str">
        <x:v>MSR-VTT; MSVD; UCF101; HMDB51</x:v>
      </x:c>
      <x:c r="G92" s="34" t="str">
        <x:v>WebVid-2M; MSR-VTT; MSVD; UCF101; HMDB51</x:v>
      </x:c>
      <x:c r="H92" s="36" t="str">
        <x:v>2023</x:v>
      </x:c>
      <x:c r="I92" s="34" t="str">
        <x:v>CVPR Workshops 2023</x:v>
      </x:c>
      <x:c r="J92" s="38" t="str">
        <x:v>No</x:v>
      </x:c>
      <x:c r="K92" s="38" t="str">
        <x:v>peer_reviewed</x:v>
      </x:c>
      <x:c r="L92" s="34" t="str"/>
      <x:c r="M92" s="34" t="str"/>
      <x:c r="N92" s="34" t="str">
        <x:v>https://openaccess.thecvf.com/content/CVPR2023W/WFM/html/Zhao_Cali-NCE_Boosting_Cross-Modal_Video_Representation_Learning_With_Calibrated_Alignment_CVPRW_2023_paper.html</x:v>
      </x:c>
      <x:c r="O92" s="34" t="str"/>
      <x:c r="P92" s="34" t="str">
        <x:v>The controlled robustness experiment trains on a randomly selected one-sixth subset of WebVid-2M.</x:v>
      </x:c>
      <x:c r="Q92" s="38" t="str">
        <x:v>2026-08-11</x:v>
      </x:c>
    </x:row>
    <x:row r="93" ht="44" customHeight="1">
      <x:c r="A93" s="34" t="str">
        <x:v>CHAIN: Exploring Global-Local Spatio-Temporal Information for Improved Self-Supervised Video Hashing</x:v>
      </x:c>
      <x:c r="B93" s="34" t="str">
        <x:v>Rukai Wei, Yu Liu, Jingkuan Song, Heng Cui, Yanzhao Xie, Ke Zhou</x:v>
      </x:c>
      <x:c r="C93" s="34" t="str">
        <x:v>CHAIN</x:v>
      </x:c>
      <x:c r="D93" s="34" t="str">
        <x:v>Other / Hybrid</x:v>
      </x:c>
      <x:c r="E93" s="34" t="str">
        <x:v>FCVID; UCF101; ActivityNet; HMDB51</x:v>
      </x:c>
      <x:c r="F93" s="34" t="str">
        <x:v>FCVID; UCF101; ActivityNet; HMDB51</x:v>
      </x:c>
      <x:c r="G93" s="34" t="str">
        <x:v>FCVID; UCF101; ActivityNet; HMDB51</x:v>
      </x:c>
      <x:c r="H93" s="36" t="str">
        <x:v>2023</x:v>
      </x:c>
      <x:c r="I93" s="34" t="str">
        <x:v>ACM Multimedia 2023</x:v>
      </x:c>
      <x:c r="J93" s="38" t="str">
        <x:v>No</x:v>
      </x:c>
      <x:c r="K93" s="38" t="str">
        <x:v>peer_reviewed</x:v>
      </x:c>
      <x:c r="L93" s="34" t="str">
        <x:v>10.1145/3581783.3613440</x:v>
      </x:c>
      <x:c r="M93" s="34" t="str"/>
      <x:c r="N93" s="34" t="str">
        <x:v>https://dl.acm.org/doi/10.1145/3581783.3613440</x:v>
      </x:c>
      <x:c r="O93" s="34" t="str"/>
      <x:c r="P93" s="34" t="str"/>
      <x:c r="Q93" s="38" t="str">
        <x:v>2026-08-11</x:v>
      </x:c>
    </x:row>
    <x:row r="94" ht="44" customHeight="1">
      <x:c r="A94" s="34" t="str">
        <x:v>CMAE-V: Contrastive Masked Autoencoders for Video Action Recognition</x:v>
      </x:c>
      <x:c r="B94" s="34" t="str">
        <x:v>Cheng-Ze Lu, Xiaojie Jin, Zhicheng Huang, Qibin Hou, Ming-Ming Cheng, Jiashi Feng</x:v>
      </x:c>
      <x:c r="C94" s="34" t="str">
        <x:v>CMAE-V</x:v>
      </x:c>
      <x:c r="D94" s="34" t="str">
        <x:v>Other / Hybrid</x:v>
      </x:c>
      <x:c r="E94" s="34" t="str">
        <x:v>Kinetics-400; Something-Something V2</x:v>
      </x:c>
      <x:c r="F94" s="34" t="str">
        <x:v>Kinetics-400; Something-Something V2</x:v>
      </x:c>
      <x:c r="G94" s="34" t="str">
        <x:v>Kinetics-400; Something-Something V2</x:v>
      </x:c>
      <x:c r="H94" s="36" t="str">
        <x:v>2023</x:v>
      </x:c>
      <x:c r="I94" s="34" t="str">
        <x:v>arXiv / Preprint</x:v>
      </x:c>
      <x:c r="J94" s="38" t="str">
        <x:v>No</x:v>
      </x:c>
      <x:c r="K94" s="38" t="str">
        <x:v>preprint</x:v>
      </x:c>
      <x:c r="L94" s="34" t="str"/>
      <x:c r="M94" s="34" t="str">
        <x:v>2301.06018</x:v>
      </x:c>
      <x:c r="N94" s="34" t="str">
        <x:v>https://arxiv.org/abs/2301.06018</x:v>
      </x:c>
      <x:c r="O94" s="34" t="str"/>
      <x:c r="P94" s="34" t="str"/>
      <x:c r="Q94" s="38" t="str">
        <x:v>2026-08-11</x:v>
      </x:c>
    </x:row>
    <x:row r="95" ht="44" customHeight="1">
      <x:c r="A95" s="34" t="str">
        <x:v>Concatenated Masked Autoencoders as Spatial-Temporal Learner</x:v>
      </x:c>
      <x:c r="B95" s="34" t="str">
        <x:v>Zhouqiang Jiang, Bowen Wang, Tong Xiang, Zhaofeng Niu, Hong Tang, Guangshun Li, Liangzhi Li</x:v>
      </x:c>
      <x:c r="C95" s="34" t="str">
        <x:v>CatMAE</x:v>
      </x:c>
      <x:c r="D95" s="34" t="str">
        <x:v>Generative / Masked</x:v>
      </x:c>
      <x:c r="E95" s="34" t="str">
        <x:v>Kinetics-400</x:v>
      </x:c>
      <x:c r="F95" s="34" t="str">
        <x:v>DAVIS 2017; Kinetics-400</x:v>
      </x:c>
      <x:c r="G95" s="34" t="str">
        <x:v>Kinetics-400; DAVIS 2017</x:v>
      </x:c>
      <x:c r="H95" s="36" t="str">
        <x:v>2023</x:v>
      </x:c>
      <x:c r="I95" s="34" t="str">
        <x:v>arXiv / Preprint</x:v>
      </x:c>
      <x:c r="J95" s="38" t="str">
        <x:v>No</x:v>
      </x:c>
      <x:c r="K95" s="38" t="str">
        <x:v>preprint</x:v>
      </x:c>
      <x:c r="L95" s="34" t="str"/>
      <x:c r="M95" s="34" t="str">
        <x:v>2311.00961</x:v>
      </x:c>
      <x:c r="N95" s="34" t="str">
        <x:v>https://arxiv.org/abs/2311.00961</x:v>
      </x:c>
      <x:c r="O95" s="34" t="str"/>
      <x:c r="P95" s="34" t="str"/>
      <x:c r="Q95" s="38" t="str">
        <x:v>2026-08-11</x:v>
      </x:c>
    </x:row>
    <x:row r="96" ht="44" customHeight="1">
      <x:c r="A96" s="34" t="str">
        <x:v>Consistent Intra-video Contrastive Learning with Asynchronous Long-term Memory Bank</x:v>
      </x:c>
      <x:c r="B96" s="34" t="str">
        <x:v>Zelin Chen, Kun-Yu Lin, Wei-Shi Zheng</x:v>
      </x:c>
      <x:c r="C96" s="34" t="str">
        <x:v>Consistent Intra-Video Contrastive Learning</x:v>
      </x:c>
      <x:c r="D96" s="34" t="str">
        <x:v>Contrastive</x:v>
      </x:c>
      <x:c r="E96" s="34" t="str">
        <x:v>Kinetics-400; UCF101</x:v>
      </x:c>
      <x:c r="F96" s="34" t="str">
        <x:v>UCF101; HMDB51</x:v>
      </x:c>
      <x:c r="G96" s="34" t="str">
        <x:v>Kinetics-400; UCF101; HMDB51</x:v>
      </x:c>
      <x:c r="H96" s="36" t="str">
        <x:v>2023</x:v>
      </x:c>
      <x:c r="I96" s="34" t="str">
        <x:v>IEEE Transactions on Circuits and Systems for Video Technology 2023</x:v>
      </x:c>
      <x:c r="J96" s="38" t="str">
        <x:v>No</x:v>
      </x:c>
      <x:c r="K96" s="38" t="str">
        <x:v>peer_reviewed</x:v>
      </x:c>
      <x:c r="L96" s="34" t="str">
        <x:v>10.1109/TCSVT.2022.3207174</x:v>
      </x:c>
      <x:c r="M96" s="34" t="str"/>
      <x:c r="N96" s="34" t="str">
        <x:v>https://ieeexplore.ieee.org/document/9893855</x:v>
      </x:c>
      <x:c r="O96" s="34" t="str"/>
      <x:c r="P96" s="34" t="str"/>
      <x:c r="Q96" s="38" t="str">
        <x:v>2026-08-11</x:v>
      </x:c>
    </x:row>
    <x:row r="97" ht="44" customHeight="1">
      <x:c r="A97" s="34" t="str">
        <x:v>Continuous frame motion sensitive self-supervised collaborative network for video representation learning</x:v>
      </x:c>
      <x:c r="B97" s="34" t="str">
        <x:v>Shuai Bi, Zhengping Hu, Mengyao Zhao, Hehao Zhang, Jirui Di, and Zhe Sun</x:v>
      </x:c>
      <x:c r="C97" s="34" t="str">
        <x:v>Continuous-frame motion-sensitive collaborative network</x:v>
      </x:c>
      <x:c r="D97" s="34" t="str">
        <x:v>Other / Hybrid</x:v>
      </x:c>
      <x:c r="E97" s="34" t="str">
        <x:v>UCF101; HMDB51</x:v>
      </x:c>
      <x:c r="F97" s="34" t="str">
        <x:v>UCF101; HMDB51</x:v>
      </x:c>
      <x:c r="G97" s="34" t="str">
        <x:v>UCF101; HMDB51</x:v>
      </x:c>
      <x:c r="H97" s="36" t="str">
        <x:v>2023</x:v>
      </x:c>
      <x:c r="I97" s="34" t="str">
        <x:v>Advanced Engineering Informatics 2023</x:v>
      </x:c>
      <x:c r="J97" s="38" t="str">
        <x:v>No</x:v>
      </x:c>
      <x:c r="K97" s="38" t="str">
        <x:v>peer_reviewed</x:v>
      </x:c>
      <x:c r="L97" s="34" t="str">
        <x:v>10.1016/j.aei.2023.101941</x:v>
      </x:c>
      <x:c r="M97" s="34" t="str"/>
      <x:c r="N97" s="34" t="str">
        <x:v>https://www.sciencedirect.com/science/article/pii/S1474034623000691</x:v>
      </x:c>
      <x:c r="O97" s="34" t="str"/>
      <x:c r="P97" s="34" t="str"/>
      <x:c r="Q97" s="38" t="str">
        <x:v>2026-08-11</x:v>
      </x:c>
    </x:row>
    <x:row r="98" ht="44" customHeight="1">
      <x:c r="A98" s="34" t="str">
        <x:v>Cross-modal Manifold Cutmix for Self-supervised Video Representation Learning</x:v>
      </x:c>
      <x:c r="B98" s="34" t="str">
        <x:v>Srijan Das; Michael Ryoo</x:v>
      </x:c>
      <x:c r="C98" s="34" t="str">
        <x:v>Cross-modal Manifold CutMix (CMMC / STC-mix)</x:v>
      </x:c>
      <x:c r="D98" s="34" t="str">
        <x:v>Multimodal / Audio-Visual</x:v>
      </x:c>
      <x:c r="E98" s="34" t="str">
        <x:v>UCF101; HMDB51; NTU RGB+D 60</x:v>
      </x:c>
      <x:c r="F98" s="34" t="str">
        <x:v>UCF101; HMDB51; NTU RGB+D 60</x:v>
      </x:c>
      <x:c r="G98" s="34" t="str">
        <x:v>UCF101; HMDB51; NTU RGB+D 60</x:v>
      </x:c>
      <x:c r="H98" s="36" t="str">
        <x:v>2023</x:v>
      </x:c>
      <x:c r="I98" s="34" t="str">
        <x:v>MVA 2023</x:v>
      </x:c>
      <x:c r="J98" s="38" t="str">
        <x:v>No</x:v>
      </x:c>
      <x:c r="K98" s="38" t="str">
        <x:v>peer_reviewed</x:v>
      </x:c>
      <x:c r="L98" s="34" t="str"/>
      <x:c r="M98" s="34" t="str"/>
      <x:c r="N98" s="34" t="str">
        <x:v>https://ieeexplore.ieee.org/document/10216260</x:v>
      </x:c>
      <x:c r="O98" s="34" t="str"/>
      <x:c r="P98" s="34" t="str"/>
      <x:c r="Q98" s="38" t="str">
        <x:v>2026-08-11</x:v>
      </x:c>
    </x:row>
    <x:row r="99" ht="44" customHeight="1">
      <x:c r="A99" s="34" t="str">
        <x:v>Data-Efficient Masked Video Modeling for Self-supervised Action Recognition</x:v>
      </x:c>
      <x:c r="B99" s="34" t="str">
        <x:v>Qiankun Li, Xiaolong Huang, Zhifan Wan, Lanqing Hu, Shuzhe Wu, Jie Zhang, Shiguang Shan, Zengfu Wang(</x:v>
      </x:c>
      <x:c r="C99" s="34" t="str">
        <x:v>Data-Efficient Masked Video Modeling (DEMVM)</x:v>
      </x:c>
      <x:c r="D99" s="34" t="str">
        <x:v>Generative / Masked</x:v>
      </x:c>
      <x:c r="E99" s="34" t="str">
        <x:v>UCF101; HMDB51</x:v>
      </x:c>
      <x:c r="F99" s="34" t="str">
        <x:v>UCF101; HMDB51; Diving48</x:v>
      </x:c>
      <x:c r="G99" s="34" t="str">
        <x:v>UCF101; HMDB51; Diving48</x:v>
      </x:c>
      <x:c r="H99" s="36" t="str">
        <x:v>2023</x:v>
      </x:c>
      <x:c r="I99" s="34" t="str">
        <x:v>ACM Multimedia 2023</x:v>
      </x:c>
      <x:c r="J99" s="38" t="str">
        <x:v>No</x:v>
      </x:c>
      <x:c r="K99" s="38" t="str">
        <x:v>peer_reviewed</x:v>
      </x:c>
      <x:c r="L99" s="34" t="str">
        <x:v>10.1145/3581783.3612496</x:v>
      </x:c>
      <x:c r="M99" s="34" t="str"/>
      <x:c r="N99" s="34" t="str">
        <x:v>https://dl.acm.org/doi/10.1145/3581783.3612496</x:v>
      </x:c>
      <x:c r="O99" s="34" t="str"/>
      <x:c r="P99" s="34" t="str"/>
      <x:c r="Q99" s="38" t="str">
        <x:v>2026-08-11</x:v>
      </x:c>
    </x:row>
    <x:row r="100" ht="44" customHeight="1">
      <x:c r="A100" s="34" t="str">
        <x:v>Enhancing motion visual cues for self-supervised video representation learning</x:v>
      </x:c>
      <x:c r="B100" s="34" t="str">
        <x:v>Mu Nie, Zhibin Quan, Weiping Ding, and Wankou Yang</x:v>
      </x:c>
      <x:c r="C100" s="34" t="str">
        <x:v>Enhancing Motion Visual Cues (EMVC)</x:v>
      </x:c>
      <x:c r="D100" s="34" t="str">
        <x:v>Contrastive</x:v>
      </x:c>
      <x:c r="E100" s="34" t="str">
        <x:v>UCF101; HMDB51</x:v>
      </x:c>
      <x:c r="F100" s="34" t="str">
        <x:v>UCF101; HMDB51</x:v>
      </x:c>
      <x:c r="G100" s="34" t="str">
        <x:v>UCF101; HMDB51</x:v>
      </x:c>
      <x:c r="H100" s="36" t="str">
        <x:v>2023</x:v>
      </x:c>
      <x:c r="I100" s="34" t="str">
        <x:v>Engineering Applications of Artificial Intelligence 2023</x:v>
      </x:c>
      <x:c r="J100" s="38" t="str">
        <x:v>No</x:v>
      </x:c>
      <x:c r="K100" s="38" t="str">
        <x:v>peer_reviewed</x:v>
      </x:c>
      <x:c r="L100" s="34" t="str">
        <x:v>10.1016/j.engappai.2023.106203</x:v>
      </x:c>
      <x:c r="M100" s="34" t="str"/>
      <x:c r="N100" s="34" t="str">
        <x:v>https://www.sciencedirect.com/science/article/pii/S0952197623003871</x:v>
      </x:c>
      <x:c r="O100" s="34" t="str"/>
      <x:c r="P100" s="34" t="str"/>
      <x:c r="Q100" s="38" t="str">
        <x:v>2026-08-11</x:v>
      </x:c>
    </x:row>
    <x:row r="101" ht="44" customHeight="1">
      <x:c r="A101" s="34" t="str">
        <x:v>Fine-Grained Spatiotemporal Motion Alignment for Contrastive Video Representation Learning</x:v>
      </x:c>
      <x:c r="B101" s="34" t="str">
        <x:v>Minghao Zhu, Xiao Lin, Ronghao Dang, Chengju Liu, Qijun Chen</x:v>
      </x:c>
      <x:c r="C101" s="34" t="str">
        <x:v>FIMA</x:v>
      </x:c>
      <x:c r="D101" s="34" t="str">
        <x:v>Contrastive</x:v>
      </x:c>
      <x:c r="E101" s="34" t="str">
        <x:v>UCF101; Kinetics-400</x:v>
      </x:c>
      <x:c r="F101" s="34" t="str">
        <x:v>UCF101; HMDB51; Diving48; Kinetics-400</x:v>
      </x:c>
      <x:c r="G101" s="34" t="str">
        <x:v>UCF101; Kinetics-400; HMDB51; Diving48</x:v>
      </x:c>
      <x:c r="H101" s="36" t="str">
        <x:v>2023</x:v>
      </x:c>
      <x:c r="I101" s="34" t="str">
        <x:v>ACM Multimedia 2023</x:v>
      </x:c>
      <x:c r="J101" s="38" t="str">
        <x:v>No</x:v>
      </x:c>
      <x:c r="K101" s="38" t="str">
        <x:v>peer_reviewed</x:v>
      </x:c>
      <x:c r="L101" s="34" t="str">
        <x:v>10.1145/3581783.3611932</x:v>
      </x:c>
      <x:c r="M101" s="34" t="str">
        <x:v>2309.00297</x:v>
      </x:c>
      <x:c r="N101" s="34" t="str">
        <x:v>https://dl.acm.org/doi/10.1145/3581783.3611932</x:v>
      </x:c>
      <x:c r="O101" s="34" t="str"/>
      <x:c r="P101" s="34" t="str"/>
      <x:c r="Q101" s="38" t="str">
        <x:v>2026-08-11</x:v>
      </x:c>
    </x:row>
    <x:row r="102" ht="44" customHeight="1">
      <x:c r="A102" s="34" t="str">
        <x:v>Flavr: Flow-agnostic Video Representations for Fast Frame Interpolation</x:v>
      </x:c>
      <x:c r="B102" s="34" t="str">
        <x:v>Tarun Kalluri, Deepak Pathak, Manmohan Chandraker, and Du Tran</x:v>
      </x:c>
      <x:c r="C102" s="34" t="str">
        <x:v>FLAVR</x:v>
      </x:c>
      <x:c r="D102" s="34" t="str">
        <x:v>Pretext / Predictive</x:v>
      </x:c>
      <x:c r="E102" s="34" t="str">
        <x:v>Vimeo-90K; GoPro</x:v>
      </x:c>
      <x:c r="F102" s="34" t="str">
        <x:v>Vimeo-90K; UCF101; DAVIS; Adobe-240FPS; GoPro; SNU-FILM; Middlebury; HMDB51; MPI Sintel; KITTI; DAVIS 2017</x:v>
      </x:c>
      <x:c r="G102" s="34" t="str">
        <x:v>Vimeo-90K; GoPro; UCF101; DAVIS; Adobe-240FPS; SNU-FILM; Middlebury; HMDB51; MPI Sintel; KITTI; DAVIS 2017</x:v>
      </x:c>
      <x:c r="H102" s="36" t="str">
        <x:v>2023</x:v>
      </x:c>
      <x:c r="I102" s="34" t="str">
        <x:v>WACV 2023</x:v>
      </x:c>
      <x:c r="J102" s="38" t="str">
        <x:v>No</x:v>
      </x:c>
      <x:c r="K102" s="38" t="str">
        <x:v>peer_reviewed</x:v>
      </x:c>
      <x:c r="L102" s="34" t="str"/>
      <x:c r="M102" s="34" t="str"/>
      <x:c r="N102" s="34" t="str">
        <x:v>https://openaccess.thecvf.com/content/WACV2023/html/Kalluri_FLAVR_Flow-Agnostic_Video_Representations_for_Fast_Frame_Interpolation_WACV_2023_paper.html</x:v>
      </x:c>
      <x:c r="O102" s="34" t="str"/>
      <x:c r="P102" s="34" t="str"/>
      <x:c r="Q102" s="38" t="str">
        <x:v>2026-08-11</x:v>
      </x:c>
    </x:row>
    <x:row r="103" ht="44" customHeight="1">
      <x:c r="A103" s="34" t="str">
        <x:v>HomE: Homography-Equivariant Video Representation Learning</x:v>
      </x:c>
      <x:c r="B103" s="34" t="str">
        <x:v>Anirudh Sriram, Adrien Gaidon, Jiajun Wu, Juan Carlos Niebles, Li Fei-Fei, and Ehsan Adeli</x:v>
      </x:c>
      <x:c r="C103" s="34" t="str">
        <x:v>HomE</x:v>
      </x:c>
      <x:c r="D103" s="34" t="str">
        <x:v>Pretext / Predictive</x:v>
      </x:c>
      <x:c r="E103" s="34" t="str">
        <x:v>Synthetic CIFAR-10; UCF101; Stanford-TRI Intent Prediction</x:v>
      </x:c>
      <x:c r="F103" s="34" t="str">
        <x:v>Synthetic CIFAR-10; UCF101; Stanford-TRI Intent Prediction</x:v>
      </x:c>
      <x:c r="G103" s="34" t="str">
        <x:v>Synthetic CIFAR-10; UCF101; Stanford-TRI Intent Prediction</x:v>
      </x:c>
      <x:c r="H103" s="36" t="str">
        <x:v>2023</x:v>
      </x:c>
      <x:c r="I103" s="34" t="str">
        <x:v>arXiv / Preprint</x:v>
      </x:c>
      <x:c r="J103" s="38" t="str">
        <x:v>No</x:v>
      </x:c>
      <x:c r="K103" s="38" t="str">
        <x:v>preprint</x:v>
      </x:c>
      <x:c r="L103" s="34" t="str"/>
      <x:c r="M103" s="34" t="str">
        <x:v>2306.01623</x:v>
      </x:c>
      <x:c r="N103" s="34" t="str">
        <x:v>https://arxiv.org/abs/2306.01623</x:v>
      </x:c>
      <x:c r="O103" s="34" t="str">
        <x:v>https://github.com/anirudhs123/HomE</x:v>
      </x:c>
      <x:c r="P103" s="34" t="str"/>
      <x:c r="Q103" s="38" t="str">
        <x:v>2026-08-11</x:v>
      </x:c>
    </x:row>
    <x:row r="104" ht="44" customHeight="1">
      <x:c r="A104" s="34" t="str">
        <x:v>Language-based Action Concept Spaces Improve Video Self-Supervised Learning</x:v>
      </x:c>
      <x:c r="B104" s="34" t="str">
        <x:v>Kanchana Ranasinghe, Michael S Ryoo</x:v>
      </x:c>
      <x:c r="C104" s="34" t="str">
        <x:v>Language-based Self-Supervision (LSS)</x:v>
      </x:c>
      <x:c r="D104" s="34" t="str">
        <x:v>Multimodal / Audio-Visual</x:v>
      </x:c>
      <x:c r="E104" s="34" t="str">
        <x:v>Kinetics-400</x:v>
      </x:c>
      <x:c r="F104" s="34" t="str">
        <x:v>Kinetics-400; UCF101; HMDB51; Charades</x:v>
      </x:c>
      <x:c r="G104" s="34" t="str">
        <x:v>Kinetics-400; UCF101; HMDB51; Charades</x:v>
      </x:c>
      <x:c r="H104" s="36" t="str">
        <x:v>2023</x:v>
      </x:c>
      <x:c r="I104" s="34" t="str">
        <x:v>NeurIPS 2023</x:v>
      </x:c>
      <x:c r="J104" s="38" t="str">
        <x:v>Yes</x:v>
      </x:c>
      <x:c r="K104" s="38" t="str">
        <x:v>peer_reviewed</x:v>
      </x:c>
      <x:c r="L104" s="34" t="str">
        <x:v>10.52202/075280-3277</x:v>
      </x:c>
      <x:c r="M104" s="34" t="str"/>
      <x:c r="N104" s="34" t="str">
        <x:v>https://proceedings.neurips.cc/paper_files/paper/2023/hash/ed67dff7cb96e7e86c4d91c0d5db49bb-Abstract-Conference.html</x:v>
      </x:c>
      <x:c r="O104" s="34" t="str"/>
      <x:c r="P104" s="34" t="str">
        <x:v>Kinetics-400, UCF101, and HMDB51 labels form the base concept vocabulary; the self-supervised training phase itself uses Kinetics-400 videos.</x:v>
      </x:c>
      <x:c r="Q104" s="38" t="str">
        <x:v>2026-08-11</x:v>
      </x:c>
    </x:row>
    <x:row r="105" ht="44" customHeight="1">
      <x:c r="A105" s="34" t="str">
        <x:v>Learning Fine-Grained Features for Pixel-wise Video Correspondences</x:v>
      </x:c>
      <x:c r="B105" s="34" t="str">
        <x:v>Li, R., Zhou, S., &amp; Liu, D.</x:v>
      </x:c>
      <x:c r="C105" s="34" t="str">
        <x:v>Adversarial fine-grained correspondence learning</x:v>
      </x:c>
      <x:c r="D105" s="34" t="str">
        <x:v>Pretext / Predictive</x:v>
      </x:c>
      <x:c r="E105" s="34" t="str">
        <x:v>FlyingThings3D; YouTube-VOS</x:v>
      </x:c>
      <x:c r="F105" s="34" t="str">
        <x:v>BADJA; JHMDB; TAP-Vid-DAVIS; TAP-Vid-Kinetics; DAVIS 2017</x:v>
      </x:c>
      <x:c r="G105" s="34" t="str">
        <x:v>FlyingThings3D; YouTube-VOS; BADJA; JHMDB; TAP-Vid-DAVIS; TAP-Vid-Kinetics; DAVIS 2017</x:v>
      </x:c>
      <x:c r="H105" s="36" t="str">
        <x:v>2023</x:v>
      </x:c>
      <x:c r="I105" s="34" t="str">
        <x:v>ICCV 2023</x:v>
      </x:c>
      <x:c r="J105" s="38" t="str">
        <x:v>No</x:v>
      </x:c>
      <x:c r="K105" s="38" t="str">
        <x:v>peer_reviewed</x:v>
      </x:c>
      <x:c r="L105" s="34" t="str">
        <x:v>10.1109/ICCV51070.2023.00883</x:v>
      </x:c>
      <x:c r="M105" s="34" t="str">
        <x:v>2308.03040</x:v>
      </x:c>
      <x:c r="N105" s="34" t="str">
        <x:v>https://openaccess.thecvf.com/content/ICCV2023/html/Li_Learning_Fine-Grained_Features_for_Pixel-Wise_Video_Correspondences_ICCV_2023_paper.html</x:v>
      </x:c>
      <x:c r="O105" s="34" t="str"/>
      <x:c r="P105" s="34" t="str"/>
      <x:c r="Q105" s="38" t="str">
        <x:v>2026-08-11</x:v>
      </x:c>
    </x:row>
    <x:row r="106" ht="44" customHeight="1">
      <x:c r="A106" s="34" t="str">
        <x:v>Learning Representational Invariances for Data-Efficient Action Recognition</x:v>
      </x:c>
      <x:c r="B106" s="34" t="str">
        <x:v>Yuliang Zou, Jinwoo Choi, Qitong Wang, Jia-Bin Huang</x:v>
      </x:c>
      <x:c r="C106" s="34" t="str">
        <x:v>Representational-invariance augmentation study</x:v>
      </x:c>
      <x:c r="D106" s="34" t="str">
        <x:v>Contrastive</x:v>
      </x:c>
      <x:c r="E106" s="34" t="str">
        <x:v>UCF101; HMDB51; Kinetics-100; Kinetics-400; Mini Something-Something V2</x:v>
      </x:c>
      <x:c r="F106" s="34" t="str">
        <x:v>UCF101; HMDB51; Kinetics-100; Mini Something-Something V2</x:v>
      </x:c>
      <x:c r="G106" s="34" t="str">
        <x:v>UCF101; HMDB51; Kinetics-100; Kinetics-400; Mini Something-Something V2</x:v>
      </x:c>
      <x:c r="H106" s="36" t="str">
        <x:v>2023</x:v>
      </x:c>
      <x:c r="I106" s="34" t="str">
        <x:v>Computer Vision and Image Understanding 2023</x:v>
      </x:c>
      <x:c r="J106" s="38" t="str">
        <x:v>No</x:v>
      </x:c>
      <x:c r="K106" s="38" t="str">
        <x:v>peer_reviewed</x:v>
      </x:c>
      <x:c r="L106" s="34" t="str">
        <x:v>10.1016/j.cviu.2022.103597</x:v>
      </x:c>
      <x:c r="M106" s="34" t="str">
        <x:v>2103.16565</x:v>
      </x:c>
      <x:c r="N106" s="34" t="str">
        <x:v>https://www.sciencedirect.com/science/article/pii/S1077314222001748</x:v>
      </x:c>
      <x:c r="O106" s="34" t="str">
        <x:v>https://github.com/vt-vl-lab/video-data-aug</x:v>
      </x:c>
      <x:c r="P106" s="34" t="str"/>
      <x:c r="Q106" s="38" t="str">
        <x:v>2026-08-11</x:v>
      </x:c>
    </x:row>
    <x:row r="107" ht="44" customHeight="1">
      <x:c r="A107" s="34" t="str">
        <x:v>LgNet: A local-global network for action recognition and beyond</x:v>
      </x:c>
      <x:c r="B107" s="34" t="str">
        <x:v>Jiaqi Zhou, Zehua Fu, Qiuyu Huang, Qingjie Liu, Yunhong Wang</x:v>
      </x:c>
      <x:c r="C107" s="34" t="str">
        <x:v>LgNet</x:v>
      </x:c>
      <x:c r="D107" s="34" t="str">
        <x:v>Other / Hybrid</x:v>
      </x:c>
      <x:c r="E107" s="34" t="str">
        <x:v>Kinetics-400</x:v>
      </x:c>
      <x:c r="F107" s="34" t="str">
        <x:v>Kinetics-400; UCF101; HMDB51; Something-Something V2</x:v>
      </x:c>
      <x:c r="G107" s="34" t="str">
        <x:v>Kinetics-400; UCF101; HMDB51; Something-Something V2</x:v>
      </x:c>
      <x:c r="H107" s="36" t="str">
        <x:v>2023</x:v>
      </x:c>
      <x:c r="I107" s="34" t="str">
        <x:v>IEEE Transactions on Multimedia 2023</x:v>
      </x:c>
      <x:c r="J107" s="38" t="str">
        <x:v>No</x:v>
      </x:c>
      <x:c r="K107" s="38" t="str">
        <x:v>peer_reviewed</x:v>
      </x:c>
      <x:c r="L107" s="34" t="str">
        <x:v>10.1109/TMM.2022.3189253</x:v>
      </x:c>
      <x:c r="M107" s="34" t="str"/>
      <x:c r="N107" s="34" t="str">
        <x:v>https://ieeexplore.ieee.org/document/9817623</x:v>
      </x:c>
      <x:c r="O107" s="34" t="str"/>
      <x:c r="P107" s="34" t="str"/>
      <x:c r="Q107" s="38" t="str">
        <x:v>2026-08-11</x:v>
      </x:c>
    </x:row>
    <x:row r="108" ht="44" customHeight="1">
      <x:c r="A108" s="34" t="str">
        <x:v>Masked Motion Encoding for Self-Supervised Video Representation Learning</x:v>
      </x:c>
      <x:c r="B108" s="34" t="str">
        <x:v>Xinyu Sun, Peihao Chen, Liangwei Chen, Thomas H. Li, Mingkui Tan, Chuang Gan</x:v>
      </x:c>
      <x:c r="C108" s="34" t="str">
        <x:v>Masked Motion Encoding (MME)</x:v>
      </x:c>
      <x:c r="D108" s="34" t="str">
        <x:v>Generative / Masked</x:v>
      </x:c>
      <x:c r="E108" s="34" t="str">
        <x:v>Kinetics-400; Something-Something V2</x:v>
      </x:c>
      <x:c r="F108" s="34" t="str">
        <x:v>Kinetics-400; Something-Something V2; UCF101; HMDB51</x:v>
      </x:c>
      <x:c r="G108" s="34" t="str">
        <x:v>Kinetics-400; Something-Something V2; UCF101; HMDB51</x:v>
      </x:c>
      <x:c r="H108" s="36" t="str">
        <x:v>2023</x:v>
      </x:c>
      <x:c r="I108" s="34" t="str">
        <x:v>CVPR 2023</x:v>
      </x:c>
      <x:c r="J108" s="38" t="str">
        <x:v>No</x:v>
      </x:c>
      <x:c r="K108" s="38" t="str">
        <x:v>peer_reviewed</x:v>
      </x:c>
      <x:c r="L108" s="34" t="str"/>
      <x:c r="M108" s="34" t="str">
        <x:v>2210.06096</x:v>
      </x:c>
      <x:c r="N108" s="34" t="str">
        <x:v>https://openaccess.thecvf.com/content/CVPR2023/html/Sun_Masked_Motion_Encoding_for_Self-Supervised_Video_Representation_Learning_CVPR_2023_paper.html</x:v>
      </x:c>
      <x:c r="O108" s="34" t="str">
        <x:v>https://github.com/XinyuSun/MME</x:v>
      </x:c>
      <x:c r="P108" s="34" t="str"/>
      <x:c r="Q108" s="38" t="str">
        <x:v>2026-08-11</x:v>
      </x:c>
    </x:row>
    <x:row r="109" ht="44" customHeight="1">
      <x:c r="A109" s="34" t="str">
        <x:v>Masked Video Distillation: Rethinking Masked Feature Modeling for Self-supervised Video Representation Learning</x:v>
      </x:c>
      <x:c r="B109" s="34" t="str">
        <x:v>Rui Wang, Dongdong Chen, Zuxuan Wu, Yinpeng Chen, Xiyang Dai, Mengchen Liu, Lu Yuan, Yu-Gang Jiang</x:v>
      </x:c>
      <x:c r="C109" s="34" t="str">
        <x:v>Masked Video Distillation (MVD)</x:v>
      </x:c>
      <x:c r="D109" s="34" t="str">
        <x:v>Distillation / Teacher-Student</x:v>
      </x:c>
      <x:c r="E109" s="34" t="str">
        <x:v>ImageNet-1K; Kinetics-400</x:v>
      </x:c>
      <x:c r="F109" s="34" t="str">
        <x:v>Kinetics-400; Something-Something V2; UCF101; HMDB51; AVA v2.2</x:v>
      </x:c>
      <x:c r="G109" s="34" t="str">
        <x:v>ImageNet-1K; Kinetics-400; Something-Something V2; UCF101; HMDB51; AVA v2.2</x:v>
      </x:c>
      <x:c r="H109" s="36" t="str">
        <x:v>2023</x:v>
      </x:c>
      <x:c r="I109" s="34" t="str">
        <x:v>CVPR 2023</x:v>
      </x:c>
      <x:c r="J109" s="38" t="str">
        <x:v>No</x:v>
      </x:c>
      <x:c r="K109" s="38" t="str">
        <x:v>peer_reviewed</x:v>
      </x:c>
      <x:c r="L109" s="34" t="str"/>
      <x:c r="M109" s="34" t="str">
        <x:v>2212.04500</x:v>
      </x:c>
      <x:c r="N109" s="34" t="str">
        <x:v>https://openaccess.thecvf.com/content/CVPR2023/html/Wang_Masked_Video_Distillation_Rethinking_Masked_Feature_Modeling_for_Self-Supervised_Video_Representation_CVPR_2023_paper.html</x:v>
      </x:c>
      <x:c r="O109" s="34" t="str">
        <x:v>https://github.com/ruiwang2021/mvd</x:v>
      </x:c>
      <x:c r="P109" s="34" t="str"/>
      <x:c r="Q109" s="38" t="str">
        <x:v>2026-08-11</x:v>
      </x:c>
    </x:row>
    <x:row r="110" ht="44" customHeight="1">
      <x:c r="A110" s="34" t="str">
        <x:v>MGMAE: Motion Guided Masking for Video Masked Autoencoding</x:v>
      </x:c>
      <x:c r="B110" s="34" t="str">
        <x:v>Bingkun Huang, Zhiyu Zhao, Guozhen Zhang, Yu Qiao, Limin Wang</x:v>
      </x:c>
      <x:c r="C110" s="34" t="str">
        <x:v>MGMAE</x:v>
      </x:c>
      <x:c r="D110" s="34" t="str">
        <x:v>Generative / Masked</x:v>
      </x:c>
      <x:c r="E110" s="34" t="str">
        <x:v>Kinetics-400; Something-Something V2</x:v>
      </x:c>
      <x:c r="F110" s="34" t="str">
        <x:v>Kinetics-400; Something-Something V2</x:v>
      </x:c>
      <x:c r="G110" s="34" t="str">
        <x:v>Kinetics-400; Something-Something V2</x:v>
      </x:c>
      <x:c r="H110" s="36" t="str">
        <x:v>2023</x:v>
      </x:c>
      <x:c r="I110" s="34" t="str">
        <x:v>ICCV 2023</x:v>
      </x:c>
      <x:c r="J110" s="38" t="str">
        <x:v>No</x:v>
      </x:c>
      <x:c r="K110" s="38" t="str">
        <x:v>peer_reviewed</x:v>
      </x:c>
      <x:c r="L110" s="34" t="str"/>
      <x:c r="M110" s="34" t="str">
        <x:v>2308.10794</x:v>
      </x:c>
      <x:c r="N110" s="34" t="str">
        <x:v>https://openaccess.thecvf.com/content/ICCV2023/html/Huang_MGMAE_Motion_Guided_Masking_for_Video_Masked_Autoencoding_ICCV_2023_paper.html</x:v>
      </x:c>
      <x:c r="O110" s="34" t="str">
        <x:v>https://github.com/MCG-NJU/MGMAE</x:v>
      </x:c>
      <x:c r="P110" s="34" t="str"/>
      <x:c r="Q110" s="38" t="str">
        <x:v>2026-08-11</x:v>
      </x:c>
    </x:row>
    <x:row r="111" ht="44" customHeight="1">
      <x:c r="A111" s="34" t="str">
        <x:v>Modeling Video As Stochastic Processes for Fine-Grained Video Representation Learning</x:v>
      </x:c>
      <x:c r="B111" s="34" t="str">
        <x:v>Zhang, H., Liu, D., Zheng, Q., &amp; Su, B.</x:v>
      </x:c>
      <x:c r="C111" s="34" t="str">
        <x:v>Video Stochastic Processes (VSP)</x:v>
      </x:c>
      <x:c r="D111" s="34" t="str">
        <x:v>Contrastive</x:v>
      </x:c>
      <x:c r="E111" s="34" t="str">
        <x:v>ImageNet-1K; Penn Action; Pouring; IKEA ASM; FineGym</x:v>
      </x:c>
      <x:c r="F111" s="34" t="str">
        <x:v>Penn Action; Pouring; IKEA ASM; FineGym Gym99; FineGym Gym288</x:v>
      </x:c>
      <x:c r="G111" s="34" t="str">
        <x:v>ImageNet-1K; Penn Action; Pouring; IKEA ASM; FineGym; FineGym Gym99; FineGym Gym288</x:v>
      </x:c>
      <x:c r="H111" s="36" t="str">
        <x:v>2023</x:v>
      </x:c>
      <x:c r="I111" s="34" t="str">
        <x:v>CVPR 2023</x:v>
      </x:c>
      <x:c r="J111" s="38" t="str">
        <x:v>No</x:v>
      </x:c>
      <x:c r="K111" s="38" t="str">
        <x:v>peer_reviewed</x:v>
      </x:c>
      <x:c r="L111" s="34" t="str"/>
      <x:c r="M111" s="34" t="str"/>
      <x:c r="N111" s="34" t="str">
        <x:v>https://openaccess.thecvf.com/content/CVPR2023/html/Zhang_Modeling_Video_As_Stochastic_Processes_for_Fine-Grained_Video_Representation_Learning_CVPR_2023_paper.html</x:v>
      </x:c>
      <x:c r="O111" s="34" t="str"/>
      <x:c r="P111" s="34" t="str"/>
      <x:c r="Q111" s="38" t="str">
        <x:v>2026-08-11</x:v>
      </x:c>
    </x:row>
    <x:row r="112" ht="44" customHeight="1">
      <x:c r="A112" s="34" t="str">
        <x:v>Motion-Guided Masking for Spatiotemporal Representation Learning</x:v>
      </x:c>
      <x:c r="B112" s="34" t="str">
        <x:v>David Fan, Jue Wang, Shuai Liao, Yi Zhu, Vimal Bhat, Hector Santos-Villalobos, Rohith MV, Xinyu Li</x:v>
      </x:c>
      <x:c r="C112" s="34" t="str">
        <x:v>Motion-Guided Masking (MGM)</x:v>
      </x:c>
      <x:c r="D112" s="34" t="str">
        <x:v>Generative / Masked</x:v>
      </x:c>
      <x:c r="E112" s="34" t="str">
        <x:v>Kinetics-400; Something-Something V2</x:v>
      </x:c>
      <x:c r="F112" s="34" t="str">
        <x:v>Kinetics-400; Something-Something V2; UCF101; HMDB51; Diving48</x:v>
      </x:c>
      <x:c r="G112" s="34" t="str">
        <x:v>Kinetics-400; Something-Something V2; UCF101; HMDB51; Diving48</x:v>
      </x:c>
      <x:c r="H112" s="36" t="str">
        <x:v>2023</x:v>
      </x:c>
      <x:c r="I112" s="34" t="str">
        <x:v>ICCV 2023</x:v>
      </x:c>
      <x:c r="J112" s="38" t="str">
        <x:v>No</x:v>
      </x:c>
      <x:c r="K112" s="38" t="str">
        <x:v>peer_reviewed</x:v>
      </x:c>
      <x:c r="L112" s="34" t="str"/>
      <x:c r="M112" s="34" t="str">
        <x:v>2308.12962</x:v>
      </x:c>
      <x:c r="N112" s="34" t="str">
        <x:v>https://openaccess.thecvf.com/content/ICCV2023/html/Fan_Motion-Guided_Masking_for_Spatiotemporal_Representation_Learning_ICCV_2023_paper.html</x:v>
      </x:c>
      <x:c r="O112" s="34" t="str"/>
      <x:c r="P112" s="34" t="str"/>
      <x:c r="Q112" s="38" t="str">
        <x:v>2026-08-11</x:v>
      </x:c>
    </x:row>
    <x:row r="113" ht="44" customHeight="1">
      <x:c r="A113" s="34" t="str">
        <x:v>Multi-scale Compositional Constraints for Representation Learning on Videos</x:v>
      </x:c>
      <x:c r="B113" s="34" t="str">
        <x:v>Georgios Paraskevopoulos, Chandrashekhar Lavania, Lovish Chum, and Shiva Sundaram</x:v>
      </x:c>
      <x:c r="C113" s="34" t="str">
        <x:v>Multi-scale compositional AVID-CMA</x:v>
      </x:c>
      <x:c r="D113" s="34" t="str">
        <x:v>Multimodal / Audio-Visual</x:v>
      </x:c>
      <x:c r="E113" s="34" t="str">
        <x:v>AudioSet</x:v>
      </x:c>
      <x:c r="F113" s="34" t="str">
        <x:v>UCF101; SumMe</x:v>
      </x:c>
      <x:c r="G113" s="34" t="str">
        <x:v>AudioSet; UCF101; SumMe</x:v>
      </x:c>
      <x:c r="H113" s="36" t="str">
        <x:v>2023</x:v>
      </x:c>
      <x:c r="I113" s="34" t="str">
        <x:v>ICASSP 2023</x:v>
      </x:c>
      <x:c r="J113" s="38" t="str">
        <x:v>No</x:v>
      </x:c>
      <x:c r="K113" s="38" t="str">
        <x:v>peer_reviewed</x:v>
      </x:c>
      <x:c r="L113" s="34" t="str"/>
      <x:c r="M113" s="34" t="str"/>
      <x:c r="N113" s="34" t="str">
        <x:v>https://www.amazon.science/publications/multi-scale-compositional-constraints-for-representation-learning-on-videos</x:v>
      </x:c>
      <x:c r="O113" s="34" t="str"/>
      <x:c r="P113" s="34" t="str">
        <x:v>Experiments initialize from an AVID-CMA checkpoint pretrained on the balanced 18K subset of AudioSet.</x:v>
      </x:c>
      <x:c r="Q113" s="38" t="str">
        <x:v>2026-08-11</x:v>
      </x:c>
    </x:row>
    <x:row r="114" ht="44" customHeight="1">
      <x:c r="A114" s="34" t="str">
        <x:v>Nearest-Neighbor Inter-Intra Contrastive Learning from Unlabeled Videos</x:v>
      </x:c>
      <x:c r="B114" s="34" t="str">
        <x:v>David Fan, Deyu Yang, Xinyu Li, Vimal Bhat, and Rohith MV</x:v>
      </x:c>
      <x:c r="C114" s="34" t="str">
        <x:v>Inter-Intra Video Contrastive Learning (IIVCL)</x:v>
      </x:c>
      <x:c r="D114" s="34" t="str">
        <x:v>Contrastive</x:v>
      </x:c>
      <x:c r="E114" s="34" t="str">
        <x:v>Kinetics-400</x:v>
      </x:c>
      <x:c r="F114" s="34" t="str">
        <x:v>UCF101; HMDB51; Kinetics-400; Something-Something V2; AVA</x:v>
      </x:c>
      <x:c r="G114" s="34" t="str">
        <x:v>Kinetics-400; UCF101; HMDB51; Something-Something V2; AVA</x:v>
      </x:c>
      <x:c r="H114" s="36" t="str">
        <x:v>2023</x:v>
      </x:c>
      <x:c r="I114" s="34" t="str">
        <x:v>ICLR Workshops 2023</x:v>
      </x:c>
      <x:c r="J114" s="38" t="str">
        <x:v>No</x:v>
      </x:c>
      <x:c r="K114" s="38" t="str">
        <x:v>peer_reviewed</x:v>
      </x:c>
      <x:c r="L114" s="34" t="str"/>
      <x:c r="M114" s="34" t="str">
        <x:v>2303.07317</x:v>
      </x:c>
      <x:c r="N114" s="34" t="str">
        <x:v>https://openreview.net/forum?id=-5_B8g3CcSr</x:v>
      </x:c>
      <x:c r="O114" s="34" t="str"/>
      <x:c r="P114" s="34" t="str"/>
      <x:c r="Q114" s="38" t="str">
        <x:v>2026-08-11</x:v>
      </x:c>
    </x:row>
    <x:row r="115" ht="44" customHeight="1">
      <x:c r="A115" s="34" t="str">
        <x:v>OmniMAE: Single Model Masked Pretraining on Images and Videos</x:v>
      </x:c>
      <x:c r="B115" s="34" t="str">
        <x:v>Rohit Girdhar, Alaaeldin El-Nouby, Mannat Singh,Kalyan Vasudev Alwala, Armand Joulin , Ishan Misra</x:v>
      </x:c>
      <x:c r="C115" s="34" t="str">
        <x:v>OmniMAE</x:v>
      </x:c>
      <x:c r="D115" s="34" t="str">
        <x:v>Generative / Masked</x:v>
      </x:c>
      <x:c r="E115" s="34" t="str">
        <x:v>ImageNet-1K; Something-Something V2</x:v>
      </x:c>
      <x:c r="F115" s="34" t="str">
        <x:v>ImageNet-1K; iNaturalist 2018; Places365; Kinetics-400; Something-Something V2; EPIC-KITCHENS-100</x:v>
      </x:c>
      <x:c r="G115" s="34" t="str">
        <x:v>ImageNet-1K; Something-Something V2; iNaturalist 2018; Places365; Kinetics-400; EPIC-KITCHENS-100</x:v>
      </x:c>
      <x:c r="H115" s="36" t="str">
        <x:v>2023</x:v>
      </x:c>
      <x:c r="I115" s="34" t="str">
        <x:v>CVPR 2023</x:v>
      </x:c>
      <x:c r="J115" s="38" t="str">
        <x:v>No</x:v>
      </x:c>
      <x:c r="K115" s="38" t="str">
        <x:v>peer_reviewed</x:v>
      </x:c>
      <x:c r="L115" s="34" t="str"/>
      <x:c r="M115" s="34" t="str">
        <x:v>2206.08356</x:v>
      </x:c>
      <x:c r="N115" s="34" t="str">
        <x:v>https://openaccess.thecvf.com/content/CVPR2023/html/Girdhar_OmniMAE_Single_Model_Masked_Pretraining_on_Images_and_Videos_CVPR_2023_paper.html</x:v>
      </x:c>
      <x:c r="O115" s="34" t="str">
        <x:v>https://github.com/facebookresearch/omnivore</x:v>
      </x:c>
      <x:c r="P115" s="34" t="str"/>
      <x:c r="Q115" s="38" t="str">
        <x:v>2026-08-11</x:v>
      </x:c>
    </x:row>
    <x:row r="116" ht="44" customHeight="1">
      <x:c r="A116" s="34" t="str">
        <x:v>Previts: contrastive pretraining with video tracking supervision</x:v>
      </x:c>
      <x:c r="B116" s="34" t="str">
        <x:v>Chen, B., Selvaraju, R. R., Chang, S. F., Niebles, J. C., &amp; Naik, N.</x:v>
      </x:c>
      <x:c r="C116" s="34" t="str">
        <x:v>PreViTS</x:v>
      </x:c>
      <x:c r="D116" s="34" t="str">
        <x:v>Contrastive</x:v>
      </x:c>
      <x:c r="E116" s="34" t="str">
        <x:v>VGGSound; Kinetics-400</x:v>
      </x:c>
      <x:c r="F116" s="34" t="str">
        <x:v>UCF101; ImageNet-1K; DAVIS; JHMDB; Backgrounds Challenge</x:v>
      </x:c>
      <x:c r="G116" s="34" t="str">
        <x:v>VGGSound; Kinetics-400; UCF101; ImageNet-1K; DAVIS; JHMDB; Backgrounds Challenge</x:v>
      </x:c>
      <x:c r="H116" s="36" t="str">
        <x:v>2023</x:v>
      </x:c>
      <x:c r="I116" s="34" t="str">
        <x:v>WACV 2023</x:v>
      </x:c>
      <x:c r="J116" s="38" t="str">
        <x:v>No</x:v>
      </x:c>
      <x:c r="K116" s="38" t="str">
        <x:v>peer_reviewed</x:v>
      </x:c>
      <x:c r="L116" s="34" t="str"/>
      <x:c r="M116" s="34" t="str">
        <x:v>2112.00804</x:v>
      </x:c>
      <x:c r="N116" s="34" t="str">
        <x:v>https://openaccess.thecvf.com/content/WACV2023/html/Chen_PreViTS_Contrastive_Pretraining_With_Video_Tracking_Supervision_WACV_2023_paper.html</x:v>
      </x:c>
      <x:c r="O116" s="34" t="str"/>
      <x:c r="P116" s="34" t="str"/>
      <x:c r="Q116" s="38" t="str">
        <x:v>2026-08-11</x:v>
      </x:c>
    </x:row>
    <x:row r="117" ht="44" customHeight="1">
      <x:c r="A117" s="34" t="str">
        <x:v>Self-Supervised Audio-Visual Representation Learning with Relaxed Cross-Modal Synchronicity</x:v>
      </x:c>
      <x:c r="B117" s="34" t="str">
        <x:v>Pritam Sarkar, Ali Etemad</x:v>
      </x:c>
      <x:c r="C117" s="34" t="str">
        <x:v>CrissCross</x:v>
      </x:c>
      <x:c r="D117" s="34" t="str">
        <x:v>Multimodal / Audio-Visual</x:v>
      </x:c>
      <x:c r="E117" s="34" t="str">
        <x:v>Kinetics-Sounds; Kinetics-400; AudioSet</x:v>
      </x:c>
      <x:c r="F117" s="34" t="str">
        <x:v>Kinetics-400; UCF101; HMDB51; ESC-50; DCASE</x:v>
      </x:c>
      <x:c r="G117" s="34" t="str">
        <x:v>Kinetics-Sounds; Kinetics-400; AudioSet; UCF101; HMDB51; ESC-50; DCASE</x:v>
      </x:c>
      <x:c r="H117" s="36" t="str">
        <x:v>2023</x:v>
      </x:c>
      <x:c r="I117" s="34" t="str">
        <x:v>AAAI 2023</x:v>
      </x:c>
      <x:c r="J117" s="38" t="str">
        <x:v>No</x:v>
      </x:c>
      <x:c r="K117" s="38" t="str">
        <x:v>peer_reviewed</x:v>
      </x:c>
      <x:c r="L117" s="34" t="str"/>
      <x:c r="M117" s="34" t="str">
        <x:v>2111.05329</x:v>
      </x:c>
      <x:c r="N117" s="34" t="str">
        <x:v>https://ojs.aaai.org/index.php/AAAI/article/view/25138</x:v>
      </x:c>
      <x:c r="O117" s="34" t="str">
        <x:v>https://pritamqu.github.io/CrissCross</x:v>
      </x:c>
      <x:c r="P117" s="34" t="str"/>
      <x:c r="Q117" s="38" t="str">
        <x:v>2026-08-11</x:v>
      </x:c>
    </x:row>
    <x:row r="118" ht="44" customHeight="1">
      <x:c r="A118" s="34" t="str">
        <x:v>Self-Supervised Contrastive Learning for Audio-Visual Action Recognition</x:v>
      </x:c>
      <x:c r="B118" s="34" t="str">
        <x:v>Yang Liu, Ying Tan, Haoyuan Lan</x:v>
      </x:c>
      <x:c r="C118" s="34" t="str">
        <x:v>Audio-Visual Contrastive Learning (AVCL)</x:v>
      </x:c>
      <x:c r="D118" s="34" t="str">
        <x:v>Multimodal / Audio-Visual</x:v>
      </x:c>
      <x:c r="E118" s="34" t="str">
        <x:v>Kinetics-Sounds32; Kinetics-Sounds100</x:v>
      </x:c>
      <x:c r="F118" s="34" t="str">
        <x:v>Kinetics-Sounds32; Kinetics-Sounds100</x:v>
      </x:c>
      <x:c r="G118" s="34" t="str">
        <x:v>Kinetics-Sounds32; Kinetics-Sounds100</x:v>
      </x:c>
      <x:c r="H118" s="36" t="str">
        <x:v>2023</x:v>
      </x:c>
      <x:c r="I118" s="34" t="str">
        <x:v>ICIP 2023</x:v>
      </x:c>
      <x:c r="J118" s="38" t="str">
        <x:v>No</x:v>
      </x:c>
      <x:c r="K118" s="38" t="str">
        <x:v>peer_reviewed</x:v>
      </x:c>
      <x:c r="L118" s="34" t="str"/>
      <x:c r="M118" s="34" t="str">
        <x:v>2204.13386</x:v>
      </x:c>
      <x:c r="N118" s="34" t="str">
        <x:v>https://ieeexplore.ieee.org/document/10222383</x:v>
      </x:c>
      <x:c r="O118" s="34" t="str"/>
      <x:c r="P118" s="34" t="str"/>
      <x:c r="Q118" s="38" t="str">
        <x:v>2026-08-11</x:v>
      </x:c>
    </x:row>
    <x:row r="119" ht="44" customHeight="1">
      <x:c r="A119" s="34" t="str">
        <x:v>Self-Supervised Learning from Untrimmed Videos via Hierarchical Consistency</x:v>
      </x:c>
      <x:c r="B119" s="34" t="str">
        <x:v>Zhiwu Qing, Shiwei Zhang, Ziyuan Huang, Yi Xu, Xiang Wang, Changxin Gao, Rong Jin, and Nong Sang</x:v>
      </x:c>
      <x:c r="C119" s="34" t="str">
        <x:v>Hierarchical Consistency Learning (HiCo)</x:v>
      </x:c>
      <x:c r="D119" s="34" t="str">
        <x:v>Contrastive</x:v>
      </x:c>
      <x:c r="E119" s="34" t="str">
        <x:v>Kinetics-400; Untrimmed Kinetics-400</x:v>
      </x:c>
      <x:c r="F119" s="34" t="str">
        <x:v>UCF101; HMDB51; ActivityNet</x:v>
      </x:c>
      <x:c r="G119" s="34" t="str">
        <x:v>Kinetics-400; Untrimmed Kinetics-400; UCF101; HMDB51; ActivityNet</x:v>
      </x:c>
      <x:c r="H119" s="36" t="str">
        <x:v>2023</x:v>
      </x:c>
      <x:c r="I119" s="34" t="str">
        <x:v>IEEE Transactions on Pattern Analysis and Machine Intelligence 2023</x:v>
      </x:c>
      <x:c r="J119" s="38" t="str">
        <x:v>No</x:v>
      </x:c>
      <x:c r="K119" s="38" t="str">
        <x:v>peer_reviewed</x:v>
      </x:c>
      <x:c r="L119" s="34" t="str">
        <x:v>10.1109/TPAMI.2023.3273415</x:v>
      </x:c>
      <x:c r="M119" s="34" t="str"/>
      <x:c r="N119" s="34" t="str">
        <x:v>https://ieeexplore.ieee.org/document/10119224</x:v>
      </x:c>
      <x:c r="O119" s="34" t="str"/>
      <x:c r="P119" s="34" t="str">
        <x:v>The journal study compares standard Kinetics-400 with a 157K-video Untrimmed Kinetics-400 corpus and evaluates action localization on ActivityNet.</x:v>
      </x:c>
      <x:c r="Q119" s="38" t="str">
        <x:v>2026-08-11</x:v>
      </x:c>
    </x:row>
    <x:row r="120" ht="44" customHeight="1">
      <x:c r="A120" s="34" t="str">
        <x:v>Self-supervised motion perception for spatiotemporal representation learning</x:v>
      </x:c>
      <x:c r="B120" s="34" t="str">
        <x:v>Chang Liu, Yuan Yao, Dezhao Luo, Yu Zhou, Qixiang Ye</x:v>
      </x:c>
      <x:c r="C120" s="34" t="str">
        <x:v>Self-Supervised Motion Perception (SMP)</x:v>
      </x:c>
      <x:c r="D120" s="34" t="str">
        <x:v>Pretext / Predictive</x:v>
      </x:c>
      <x:c r="E120" s="34" t="str">
        <x:v>UCF101; Kinetics-400</x:v>
      </x:c>
      <x:c r="F120" s="34" t="str">
        <x:v>UCF101; HMDB51</x:v>
      </x:c>
      <x:c r="G120" s="34" t="str">
        <x:v>UCF101; Kinetics-400; HMDB51</x:v>
      </x:c>
      <x:c r="H120" s="36" t="str">
        <x:v>2023</x:v>
      </x:c>
      <x:c r="I120" s="34" t="str">
        <x:v>IEEE Transactions on Neural Networks and Learning Systems 2023</x:v>
      </x:c>
      <x:c r="J120" s="38" t="str">
        <x:v>No</x:v>
      </x:c>
      <x:c r="K120" s="38" t="str">
        <x:v>peer_reviewed</x:v>
      </x:c>
      <x:c r="L120" s="34" t="str">
        <x:v>10.1109/TNNLS.2022.3160860</x:v>
      </x:c>
      <x:c r="M120" s="34" t="str"/>
      <x:c r="N120" s="34" t="str">
        <x:v>https://ieeexplore.ieee.org/document/9745754</x:v>
      </x:c>
      <x:c r="O120" s="34" t="str">
        <x:v>https://github.com/yuanyao366/SMP</x:v>
      </x:c>
      <x:c r="P120" s="34" t="str"/>
      <x:c r="Q120" s="38" t="str">
        <x:v>2026-08-11</x:v>
      </x:c>
    </x:row>
    <x:row r="121" ht="44" customHeight="1">
      <x:c r="A121" s="34" t="str">
        <x:v>Self-supervised object-centric learning for videos</x:v>
      </x:c>
      <x:c r="B121" s="34" t="str">
        <x:v>Görkay Aydemir, Weidi Xie, Fatma Guney</x:v>
      </x:c>
      <x:c r="C121" s="34" t="str">
        <x:v>SOLV</x:v>
      </x:c>
      <x:c r="D121" s="34" t="str">
        <x:v>Other / Hybrid</x:v>
      </x:c>
      <x:c r="E121" s="34" t="str">
        <x:v>MOVi-E; DAVIS 2017; YouTube-VIS 2019</x:v>
      </x:c>
      <x:c r="F121" s="34" t="str">
        <x:v>MOVi-E; DAVIS 2017; YouTube-VIS 2019</x:v>
      </x:c>
      <x:c r="G121" s="34" t="str">
        <x:v>MOVi-E; DAVIS 2017; YouTube-VIS 2019</x:v>
      </x:c>
      <x:c r="H121" s="36" t="str">
        <x:v>2023</x:v>
      </x:c>
      <x:c r="I121" s="34" t="str">
        <x:v>NeurIPS 2023</x:v>
      </x:c>
      <x:c r="J121" s="38" t="str">
        <x:v>Yes</x:v>
      </x:c>
      <x:c r="K121" s="38" t="str">
        <x:v>peer_reviewed</x:v>
      </x:c>
      <x:c r="L121" s="34" t="str">
        <x:v>10.52202/075280-1424</x:v>
      </x:c>
      <x:c r="M121" s="34" t="str"/>
      <x:c r="N121" s="34" t="str">
        <x:v>https://proceedings.neurips.cc/paper_files/paper/2023/hash/67b0e7c7c2a5780aeefe3b79caac106e-Abstract-Conference.html</x:v>
      </x:c>
      <x:c r="O121" s="34" t="str"/>
      <x:c r="P121" s="34" t="str"/>
      <x:c r="Q121" s="38" t="str">
        <x:v>2026-08-11</x:v>
      </x:c>
    </x:row>
    <x:row r="122" ht="44" customHeight="1">
      <x:c r="A122" s="34" t="str">
        <x:v>Self-supervised pretext task collaborative multi-view contrastive learning for video action recognition</x:v>
      </x:c>
      <x:c r="B122" s="34" t="str">
        <x:v>Shuai Bi, Zhengping Hu, Mengyao Zhao, Hehao Zhang, Jirui Di, and Zhe Sun</x:v>
      </x:c>
      <x:c r="C122" s="34" t="str">
        <x:v>Pretext-task collaborative multi-view contrastive learning</x:v>
      </x:c>
      <x:c r="D122" s="34" t="str">
        <x:v>Other / Hybrid</x:v>
      </x:c>
      <x:c r="E122" s="34" t="str">
        <x:v>UCF101; HMDB51</x:v>
      </x:c>
      <x:c r="F122" s="34" t="str">
        <x:v>UCF101; HMDB51</x:v>
      </x:c>
      <x:c r="G122" s="34" t="str">
        <x:v>UCF101; HMDB51</x:v>
      </x:c>
      <x:c r="H122" s="36" t="str">
        <x:v>2023</x:v>
      </x:c>
      <x:c r="I122" s="34" t="str">
        <x:v>Signal, Image and Video Processing 2023</x:v>
      </x:c>
      <x:c r="J122" s="38" t="str">
        <x:v>No</x:v>
      </x:c>
      <x:c r="K122" s="38" t="str">
        <x:v>peer_reviewed</x:v>
      </x:c>
      <x:c r="L122" s="34" t="str">
        <x:v>10.1007/s11760-023-02605-z</x:v>
      </x:c>
      <x:c r="M122" s="34" t="str"/>
      <x:c r="N122" s="34" t="str">
        <x:v>https://link.springer.com/article/10.1007/s11760-023-02605-z</x:v>
      </x:c>
      <x:c r="O122" s="34" t="str"/>
      <x:c r="P122" s="34" t="str"/>
      <x:c r="Q122" s="38" t="str">
        <x:v>2026-08-11</x:v>
      </x:c>
    </x:row>
    <x:row r="123" ht="44" customHeight="1">
      <x:c r="A123" s="34" t="str">
        <x:v>Self-Supervised Scene-Debiasing for Video Representation Learning via Background Patching</x:v>
      </x:c>
      <x:c r="B123" s="34" t="str">
        <x:v>Maregu Assefa, Wei Jiang, Kumie Gedamu, Getinet Yilma, Bulbula Kumeda, Melese Ayalew</x:v>
      </x:c>
      <x:c r="C123" s="34" t="str">
        <x:v>Background Patching</x:v>
      </x:c>
      <x:c r="D123" s="34" t="str">
        <x:v>Contrastive</x:v>
      </x:c>
      <x:c r="E123" s="34" t="str">
        <x:v>Kinetics-400</x:v>
      </x:c>
      <x:c r="F123" s="34" t="str">
        <x:v>Kinetics-400; UCF101; HMDB51</x:v>
      </x:c>
      <x:c r="G123" s="34" t="str">
        <x:v>Kinetics-400; UCF101; HMDB51</x:v>
      </x:c>
      <x:c r="H123" s="36" t="str">
        <x:v>2023</x:v>
      </x:c>
      <x:c r="I123" s="34" t="str">
        <x:v>IEEE Transactions on Multimedia 2023</x:v>
      </x:c>
      <x:c r="J123" s="38" t="str">
        <x:v>No</x:v>
      </x:c>
      <x:c r="K123" s="38" t="str">
        <x:v>peer_reviewed</x:v>
      </x:c>
      <x:c r="L123" s="34" t="str">
        <x:v>10.1109/TMM.2022.3193559</x:v>
      </x:c>
      <x:c r="M123" s="34" t="str"/>
      <x:c r="N123" s="34" t="str">
        <x:v>https://ieeexplore.ieee.org/document/9839482</x:v>
      </x:c>
      <x:c r="O123" s="34" t="str"/>
      <x:c r="P123" s="34" t="str"/>
      <x:c r="Q123" s="38" t="str">
        <x:v>2026-08-11</x:v>
      </x:c>
    </x:row>
    <x:row r="124" ht="44" customHeight="1">
      <x:c r="A124" s="34" t="str">
        <x:v>Self-supervised video pretraining yields robust and more human-aligned visual representation</x:v>
      </x:c>
      <x:c r="B124" s="34" t="str">
        <x:v>Nikhil Parthasarathy, S. M. Ali Eslami, João Carreira, Olivier J. Hénaff.</x:v>
      </x:c>
      <x:c r="C124" s="34" t="str">
        <x:v>VITO</x:v>
      </x:c>
      <x:c r="D124" s="34" t="str">
        <x:v>Contrastive</x:v>
      </x:c>
      <x:c r="E124" s="34" t="str">
        <x:v>VideoNet; AudioSet; YouTube-8M; Kinetics-700; ImageNet-1K; JFT-300M</x:v>
      </x:c>
      <x:c r="F124" s="34" t="str">
        <x:v>ADE20K; COCO; DAVIS; UCF101; PASCAL VOC; LVIS; ImageNet-1K; ImageNet-A; ImageNet-Vid-Robust; ImageNet-3DCC; ClickMe</x:v>
      </x:c>
      <x:c r="G124" s="34" t="str">
        <x:v>VideoNet; AudioSet; YouTube-8M; Kinetics-700; ImageNet-1K; JFT-300M; ADE20K; COCO; DAVIS; UCF101; PASCAL VOC; LVIS; ImageNet-A; ImageNet-Vid-Robust; ImageNet-3DCC; ClickMe</x:v>
      </x:c>
      <x:c r="H124" s="36" t="str">
        <x:v>2023</x:v>
      </x:c>
      <x:c r="I124" s="34" t="str">
        <x:v>NeurIPS 2023</x:v>
      </x:c>
      <x:c r="J124" s="38" t="str">
        <x:v>Yes</x:v>
      </x:c>
      <x:c r="K124" s="38" t="str">
        <x:v>peer_reviewed</x:v>
      </x:c>
      <x:c r="L124" s="34" t="str">
        <x:v>10.52202/075280-2869</x:v>
      </x:c>
      <x:c r="M124" s="34" t="str"/>
      <x:c r="N124" s="34" t="str">
        <x:v>https://proceedings.neurips.cc/paper_files/paper/2023/hash/cf57022dff0929796f85ac99d7cefa86-Abstract-Conference.html</x:v>
      </x:c>
      <x:c r="O124" s="34" t="str"/>
      <x:c r="P124" s="34" t="str">
        <x:v>VideoNet is the paper's 1.18M-video corpus curated to approximate the ImageNet category distribution; other pretraining datasets appear in controlled comparisons.</x:v>
      </x:c>
      <x:c r="Q124" s="38" t="str">
        <x:v>2026-08-11</x:v>
      </x:c>
    </x:row>
    <x:row r="125" ht="44" customHeight="1">
      <x:c r="A125" s="34" t="str">
        <x:v>Self-Supervised Video Representation Learning via Latent Time Navigation</x:v>
      </x:c>
      <x:c r="B125" s="34" t="str">
        <x:v>Di Yang, Yaohui Wang, Quan Kong, Antitza Dantcheva, Lorenzo Garattoni, Gianpiero Francesca, and Francois Bremond</x:v>
      </x:c>
      <x:c r="C125" s="34" t="str">
        <x:v>Latent Time Navigation (LTN)</x:v>
      </x:c>
      <x:c r="D125" s="34" t="str">
        <x:v>Contrastive</x:v>
      </x:c>
      <x:c r="E125" s="34" t="str">
        <x:v>Kinetics-400</x:v>
      </x:c>
      <x:c r="F125" s="34" t="str">
        <x:v>Toyota Smarthome; Kinetics-400; UCF101; HMDB51</x:v>
      </x:c>
      <x:c r="G125" s="34" t="str">
        <x:v>Kinetics-400; Toyota Smarthome; UCF101; HMDB51</x:v>
      </x:c>
      <x:c r="H125" s="36" t="str">
        <x:v>2023</x:v>
      </x:c>
      <x:c r="I125" s="34" t="str">
        <x:v>AAAI 2023</x:v>
      </x:c>
      <x:c r="J125" s="38" t="str">
        <x:v>No</x:v>
      </x:c>
      <x:c r="K125" s="38" t="str">
        <x:v>peer_reviewed</x:v>
      </x:c>
      <x:c r="L125" s="34" t="str">
        <x:v>10.1609/aaai.v37i3.25416</x:v>
      </x:c>
      <x:c r="M125" s="34" t="str">
        <x:v>2305.06437</x:v>
      </x:c>
      <x:c r="N125" s="34" t="str">
        <x:v>https://ojs.aaai.org/index.php/AAAI/article/view/25416</x:v>
      </x:c>
      <x:c r="O125" s="34" t="str"/>
      <x:c r="P125" s="34" t="str"/>
      <x:c r="Q125" s="38" t="str">
        <x:v>2026-08-11</x:v>
      </x:c>
    </x:row>
    <x:row r="126" ht="44" customHeight="1">
      <x:c r="A126" s="34" t="str">
        <x:v>Self-Supervised Video-Based Action Recognition With Disturbances</x:v>
      </x:c>
      <x:c r="B126" s="34" t="str">
        <x:v>Wei Lin, Xinghao Ding, Yue Huang, Huanqiang Zeng</x:v>
      </x:c>
      <x:c r="C126" s="34" t="str">
        <x:v>VARD</x:v>
      </x:c>
      <x:c r="D126" s="34" t="str">
        <x:v>Contrastive</x:v>
      </x:c>
      <x:c r="E126" s="34" t="str">
        <x:v>UCF101; HMDB51</x:v>
      </x:c>
      <x:c r="F126" s="34" t="str">
        <x:v>UCF101; HMDB51</x:v>
      </x:c>
      <x:c r="G126" s="34" t="str">
        <x:v>UCF101; HMDB51</x:v>
      </x:c>
      <x:c r="H126" s="36" t="str">
        <x:v>2023</x:v>
      </x:c>
      <x:c r="I126" s="34" t="str">
        <x:v>IEEE Transactions on Image Processing 2023</x:v>
      </x:c>
      <x:c r="J126" s="38" t="str">
        <x:v>No</x:v>
      </x:c>
      <x:c r="K126" s="38" t="str">
        <x:v>peer_reviewed</x:v>
      </x:c>
      <x:c r="L126" s="34" t="str">
        <x:v>10.1109/TIP.2023.3269228</x:v>
      </x:c>
      <x:c r="M126" s="34" t="str"/>
      <x:c r="N126" s="34" t="str">
        <x:v>https://ieeexplore.ieee.org/document/10109672</x:v>
      </x:c>
      <x:c r="O126" s="34" t="str"/>
      <x:c r="P126" s="34" t="str"/>
      <x:c r="Q126" s="38" t="str">
        <x:v>2026-08-11</x:v>
      </x:c>
    </x:row>
    <x:row r="127" ht="44" customHeight="1">
      <x:c r="A127" s="34" t="str">
        <x:v>Similarity Contrastive Estimation for Image and Video Soft Contrastive Self-Supervised Learning</x:v>
      </x:c>
      <x:c r="B127" s="34" t="str">
        <x:v>Julien Denize, Jaonary Rabarisoa, Astrid Orcesi, Romain H´erault</x:v>
      </x:c>
      <x:c r="C127" s="34" t="str">
        <x:v>Similarity Contrastive Estimation (SCE)</x:v>
      </x:c>
      <x:c r="D127" s="34" t="str">
        <x:v>Contrastive</x:v>
      </x:c>
      <x:c r="E127" s="34" t="str">
        <x:v>ImageNet-1K; ImageNet-100; Kinetics-200; Kinetics-400</x:v>
      </x:c>
      <x:c r="F127" s="34" t="str">
        <x:v>CIFAR-10; CIFAR-100; STL-10; Tiny ImageNet; PASCAL VOC 2007; COCO; UCF101; HMDB51; Kinetics-400; AVA; Something-Something V2</x:v>
      </x:c>
      <x:c r="G127" s="34" t="str">
        <x:v>ImageNet-1K; ImageNet-100; Kinetics-200; Kinetics-400; CIFAR-10; CIFAR-100; STL-10; Tiny ImageNet; PASCAL VOC 2007; COCO; UCF101; HMDB51; AVA; Something-Something V2</x:v>
      </x:c>
      <x:c r="H127" s="36" t="str">
        <x:v>2023</x:v>
      </x:c>
      <x:c r="I127" s="34" t="str">
        <x:v>Machine Vision and Applications 2023</x:v>
      </x:c>
      <x:c r="J127" s="38" t="str">
        <x:v>No</x:v>
      </x:c>
      <x:c r="K127" s="38" t="str">
        <x:v>peer_reviewed</x:v>
      </x:c>
      <x:c r="L127" s="34" t="str">
        <x:v>10.1007/s00138-023-01444-9</x:v>
      </x:c>
      <x:c r="M127" s="34" t="str">
        <x:v>2212.11187</x:v>
      </x:c>
      <x:c r="N127" s="34" t="str">
        <x:v>https://link.springer.com/article/10.1007/s00138-023-01444-9</x:v>
      </x:c>
      <x:c r="O127" s="34" t="str"/>
      <x:c r="P127" s="34" t="str"/>
      <x:c r="Q127" s="38" t="str">
        <x:v>2026-08-11</x:v>
      </x:c>
    </x:row>
    <x:row r="128" ht="44" customHeight="1">
      <x:c r="A128" s="34" t="str">
        <x:v>SOR-TC: Self-attentive octave ResNet with temporal consistency for compressed video action recognition</x:v>
      </x:c>
      <x:c r="B128" s="34" t="str">
        <x:v>Junsan Zhang, Xiaomin Wang, Yao Wan, Leiquan Wang, Jian Wang, Philip S. Yu</x:v>
      </x:c>
      <x:c r="C128" s="34" t="str">
        <x:v>SOR-TC</x:v>
      </x:c>
      <x:c r="D128" s="34" t="str">
        <x:v>Pretext / Predictive</x:v>
      </x:c>
      <x:c r="E128" s="34" t="str">
        <x:v>UCF101; HMDB51</x:v>
      </x:c>
      <x:c r="F128" s="34" t="str">
        <x:v>UCF101; HMDB51</x:v>
      </x:c>
      <x:c r="G128" s="34" t="str">
        <x:v>UCF101; HMDB51</x:v>
      </x:c>
      <x:c r="H128" s="36" t="str">
        <x:v>2023</x:v>
      </x:c>
      <x:c r="I128" s="34" t="str">
        <x:v>Neurocomputing 2023</x:v>
      </x:c>
      <x:c r="J128" s="38" t="str">
        <x:v>No</x:v>
      </x:c>
      <x:c r="K128" s="38" t="str">
        <x:v>peer_reviewed</x:v>
      </x:c>
      <x:c r="L128" s="34" t="str">
        <x:v>10.1016/j.neucom.2023.02.045</x:v>
      </x:c>
      <x:c r="M128" s="34" t="str"/>
      <x:c r="N128" s="34" t="str">
        <x:v>https://www.sciencedirect.com/science/article/pii/S0925231223001959</x:v>
      </x:c>
      <x:c r="O128" s="34" t="str"/>
      <x:c r="P128" s="34" t="str"/>
      <x:c r="Q128" s="38" t="str">
        <x:v>2026-08-11</x:v>
      </x:c>
    </x:row>
    <x:row r="129" ht="44" customHeight="1">
      <x:c r="A129" s="34" t="str">
        <x:v>Spatio-Temporal Crop Aggregation for Video Representation Learning</x:v>
      </x:c>
      <x:c r="B129" s="34" t="str">
        <x:v>Sepehr Sameni, Simon Jenni, Paolo Favaro</x:v>
      </x:c>
      <x:c r="C129" s="34" t="str">
        <x:v>SCALE</x:v>
      </x:c>
      <x:c r="D129" s="34" t="str">
        <x:v>Other / Hybrid</x:v>
      </x:c>
      <x:c r="E129" s="34" t="str">
        <x:v>Kinetics-400; UCF101; HMDB51; Something-Something V2</x:v>
      </x:c>
      <x:c r="F129" s="34" t="str">
        <x:v>Kinetics-400; UCF101; HMDB51; Something-Something V2; Long-form Video Understanding (LVU)</x:v>
      </x:c>
      <x:c r="G129" s="34" t="str">
        <x:v>Kinetics-400; UCF101; HMDB51; Something-Something V2; Long-form Video Understanding (LVU)</x:v>
      </x:c>
      <x:c r="H129" s="36" t="str">
        <x:v>2023</x:v>
      </x:c>
      <x:c r="I129" s="34" t="str">
        <x:v>ICCV 2023</x:v>
      </x:c>
      <x:c r="J129" s="38" t="str">
        <x:v>No</x:v>
      </x:c>
      <x:c r="K129" s="38" t="str">
        <x:v>peer_reviewed</x:v>
      </x:c>
      <x:c r="L129" s="34" t="str"/>
      <x:c r="M129" s="34" t="str">
        <x:v>2211.17042</x:v>
      </x:c>
      <x:c r="N129" s="34" t="str">
        <x:v>https://openaccess.thecvf.com/content/ICCV2023/html/Sameni_Spatio-Temporal_Crop_Aggregation_for_Video_Representation_Learning_ICCV_2023_paper.html</x:v>
      </x:c>
      <x:c r="O129" s="34" t="str"/>
      <x:c r="P129" s="34" t="str"/>
      <x:c r="Q129" s="38" t="str">
        <x:v>2026-08-11</x:v>
      </x:c>
    </x:row>
    <x:row r="130" ht="44" customHeight="1">
      <x:c r="A130" s="34" t="str">
        <x:v>Spatiotemporal Augmentation on Selective Frequencies for Video Representation Learning</x:v>
      </x:c>
      <x:c r="B130" s="34" t="str">
        <x:v>Jinhyung Kim, Taeoh Kim, Minho Shim, Dongyoon Han, Dongyoon Wee, Junmo Kim</x:v>
      </x:c>
      <x:c r="C130" s="34" t="str">
        <x:v>Frequency Selective Augmentation (FreqAug)</x:v>
      </x:c>
      <x:c r="D130" s="34" t="str">
        <x:v>Contrastive</x:v>
      </x:c>
      <x:c r="E130" s="34" t="str">
        <x:v>Mini-Kinetics; Kinetics-400</x:v>
      </x:c>
      <x:c r="F130" s="34" t="str">
        <x:v>Mini-Kinetics; Kinetics-400; Something-Something V2; UCF101; HMDB51; Diving48; Breakfast</x:v>
      </x:c>
      <x:c r="G130" s="34" t="str">
        <x:v>Mini-Kinetics; Kinetics-400; Something-Something V2; UCF101; HMDB51; Diving48; Breakfast</x:v>
      </x:c>
      <x:c r="H130" s="36" t="str">
        <x:v>2023</x:v>
      </x:c>
      <x:c r="I130" s="34" t="str">
        <x:v>AAAI 2023</x:v>
      </x:c>
      <x:c r="J130" s="38" t="str">
        <x:v>No</x:v>
      </x:c>
      <x:c r="K130" s="38" t="str">
        <x:v>peer_reviewed</x:v>
      </x:c>
      <x:c r="L130" s="34" t="str">
        <x:v>10.1609/aaai.v37i1.25194</x:v>
      </x:c>
      <x:c r="M130" s="34" t="str">
        <x:v>2204.03865</x:v>
      </x:c>
      <x:c r="N130" s="34" t="str">
        <x:v>https://ojs.aaai.org/index.php/AAAI/article/view/25194</x:v>
      </x:c>
      <x:c r="O130" s="34" t="str"/>
      <x:c r="P130" s="34" t="str"/>
      <x:c r="Q130" s="38" t="str">
        <x:v>2026-08-11</x:v>
      </x:c>
    </x:row>
    <x:row r="131" ht="44" customHeight="1">
      <x:c r="A131" s="34" t="str">
        <x:v>Spatiotemporal consistency enhancement self-supervised representation learning for action recognition</x:v>
      </x:c>
      <x:c r="B131" s="34" t="str">
        <x:v>Shuai Bi, Zhengping Hu, Mengyao Zhao, Shufang Li &amp; Zhe Sun</x:v>
      </x:c>
      <x:c r="C131" s="34" t="str">
        <x:v>Spatiotemporal Consistency Enhancement (STCE)</x:v>
      </x:c>
      <x:c r="D131" s="34" t="str">
        <x:v>Contrastive</x:v>
      </x:c>
      <x:c r="E131" s="34" t="str">
        <x:v>UCF101; HMDB51</x:v>
      </x:c>
      <x:c r="F131" s="34" t="str">
        <x:v>UCF101; HMDB51</x:v>
      </x:c>
      <x:c r="G131" s="34" t="str">
        <x:v>UCF101; HMDB51</x:v>
      </x:c>
      <x:c r="H131" s="36" t="str">
        <x:v>2023</x:v>
      </x:c>
      <x:c r="I131" s="34" t="str">
        <x:v>Signal, Image and Video Processing 2023</x:v>
      </x:c>
      <x:c r="J131" s="38" t="str">
        <x:v>No</x:v>
      </x:c>
      <x:c r="K131" s="38" t="str">
        <x:v>peer_reviewed</x:v>
      </x:c>
      <x:c r="L131" s="34" t="str">
        <x:v>10.1007/s11760-022-02357-2</x:v>
      </x:c>
      <x:c r="M131" s="34" t="str"/>
      <x:c r="N131" s="34" t="str">
        <x:v>https://link.springer.com/article/10.1007/s11760-022-02357-2</x:v>
      </x:c>
      <x:c r="O131" s="34" t="str"/>
      <x:c r="P131" s="34" t="str"/>
      <x:c r="Q131" s="38" t="str">
        <x:v>2026-08-11</x:v>
      </x:c>
    </x:row>
    <x:row r="132" ht="44" customHeight="1">
      <x:c r="A132" s="34" t="str">
        <x:v>Temporal Contrastive Learning with Curriculum</x:v>
      </x:c>
      <x:c r="B132" s="34" t="str">
        <x:v>Shuvendu Roy and Ali Etemad</x:v>
      </x:c>
      <x:c r="C132" s="34" t="str">
        <x:v>Contrastive Curriculum Learning (ConCur)</x:v>
      </x:c>
      <x:c r="D132" s="34" t="str">
        <x:v>Contrastive</x:v>
      </x:c>
      <x:c r="E132" s="34" t="str">
        <x:v>Kinetics-400; Kinetics-200</x:v>
      </x:c>
      <x:c r="F132" s="34" t="str">
        <x:v>UCF101; HMDB51</x:v>
      </x:c>
      <x:c r="G132" s="34" t="str">
        <x:v>Kinetics-400; Kinetics-200; UCF101; HMDB51</x:v>
      </x:c>
      <x:c r="H132" s="36" t="str">
        <x:v>2023</x:v>
      </x:c>
      <x:c r="I132" s="34" t="str">
        <x:v>ICASSP 2023</x:v>
      </x:c>
      <x:c r="J132" s="38" t="str">
        <x:v>No</x:v>
      </x:c>
      <x:c r="K132" s="38" t="str">
        <x:v>peer_reviewed</x:v>
      </x:c>
      <x:c r="L132" s="34" t="str"/>
      <x:c r="M132" s="34" t="str">
        <x:v>2209.00760</x:v>
      </x:c>
      <x:c r="N132" s="34" t="str">
        <x:v>https://ieeexplore.ieee.org/document/10095948</x:v>
      </x:c>
      <x:c r="O132" s="34" t="str"/>
      <x:c r="P132" s="34" t="str"/>
      <x:c r="Q132" s="38" t="str">
        <x:v>2026-08-11</x:v>
      </x:c>
    </x:row>
    <x:row r="133" ht="44" customHeight="1">
      <x:c r="A133" s="34" t="str">
        <x:v>Temporal Transformer Networks with Self-Supervision for Action Recognition</x:v>
      </x:c>
      <x:c r="B133" s="34" t="str">
        <x:v>Yongkang Zhang, Jun Li, Guoming Wu, Han Zhang, Zhiping Shi, Member, IEEE, Zhaoxun Liu, Zizhang Wu</x:v>
      </x:c>
      <x:c r="C133" s="34" t="str">
        <x:v>Temporal Transformer Self-Supervision Network (TTSN)</x:v>
      </x:c>
      <x:c r="D133" s="34" t="str">
        <x:v>Pretext / Predictive</x:v>
      </x:c>
      <x:c r="E133" s="34" t="str">
        <x:v>ImageNet-1K; Kinetics-400</x:v>
      </x:c>
      <x:c r="F133" s="34" t="str">
        <x:v>HMDB51; UCF101; Something-Something V1</x:v>
      </x:c>
      <x:c r="G133" s="34" t="str">
        <x:v>ImageNet-1K; Kinetics-400; HMDB51; UCF101; Something-Something V1</x:v>
      </x:c>
      <x:c r="H133" s="36" t="str">
        <x:v>2023</x:v>
      </x:c>
      <x:c r="I133" s="34" t="str">
        <x:v>IEEE Internet of Things Journal 2023</x:v>
      </x:c>
      <x:c r="J133" s="38" t="str">
        <x:v>No</x:v>
      </x:c>
      <x:c r="K133" s="38" t="str">
        <x:v>peer_reviewed</x:v>
      </x:c>
      <x:c r="L133" s="34" t="str">
        <x:v>10.1109/JIOT.2023.3257992</x:v>
      </x:c>
      <x:c r="M133" s="34" t="str">
        <x:v>2112.07338</x:v>
      </x:c>
      <x:c r="N133" s="34" t="str">
        <x:v>https://ieeexplore.ieee.org/document/10064011</x:v>
      </x:c>
      <x:c r="O133" s="34" t="str"/>
      <x:c r="P133" s="34" t="str"/>
      <x:c r="Q133" s="38" t="str">
        <x:v>2026-08-11</x:v>
      </x:c>
    </x:row>
    <x:row r="134" ht="44" customHeight="1">
      <x:c r="A134" s="34" t="str">
        <x:v>TimeBalance: Temporally-Invariant and Temporally-Distinctive Video Representations for Semi-Supervised Action Recognition</x:v>
      </x:c>
      <x:c r="B134" s="34" t="str">
        <x:v>Ishan Rajendrakumar Dave, Mamshad Nayeem Rizve, Chen Chen, Mubarak Shah</x:v>
      </x:c>
      <x:c r="C134" s="34" t="str">
        <x:v>TimeBalance</x:v>
      </x:c>
      <x:c r="D134" s="34" t="str">
        <x:v>Distillation / Teacher-Student</x:v>
      </x:c>
      <x:c r="E134" s="34" t="str">
        <x:v>Kinetics-400; UCF101; HMDB51</x:v>
      </x:c>
      <x:c r="F134" s="34" t="str">
        <x:v>Kinetics-400; UCF101; HMDB51</x:v>
      </x:c>
      <x:c r="G134" s="34" t="str">
        <x:v>Kinetics-400; UCF101; HMDB51</x:v>
      </x:c>
      <x:c r="H134" s="36" t="str">
        <x:v>2023</x:v>
      </x:c>
      <x:c r="I134" s="34" t="str">
        <x:v>CVPR 2023</x:v>
      </x:c>
      <x:c r="J134" s="38" t="str">
        <x:v>No</x:v>
      </x:c>
      <x:c r="K134" s="38" t="str">
        <x:v>peer_reviewed</x:v>
      </x:c>
      <x:c r="L134" s="34" t="str"/>
      <x:c r="M134" s="34" t="str">
        <x:v>2303.16268</x:v>
      </x:c>
      <x:c r="N134" s="34" t="str">
        <x:v>https://openaccess.thecvf.com/content/CVPR2023/html/Dave_TimeBalance_Temporally-Invariant_and_Temporally-Distinctive_Video_Representations_for_Semi-Supervised_Action_Recognition_CVPR_2023_paper.html</x:v>
      </x:c>
      <x:c r="O134" s="34" t="str">
        <x:v>https://github.com/DAVEISHAN/TimeBalance</x:v>
      </x:c>
      <x:c r="P134" s="34" t="str"/>
      <x:c r="Q134" s="38" t="str">
        <x:v>2026-08-11</x:v>
      </x:c>
    </x:row>
    <x:row r="135" ht="44" customHeight="1">
      <x:c r="A135" s="34" t="str">
        <x:v>Tubelet-Contrastive Self-Supervision for Video-Efficient Generalization</x:v>
      </x:c>
      <x:c r="B135" s="34" t="str">
        <x:v>Fida Mohammad Thoker, Hazel Doughty, and Cees Snoek</x:v>
      </x:c>
      <x:c r="C135" s="34" t="str">
        <x:v>Tubelet-Contrastive</x:v>
      </x:c>
      <x:c r="D135" s="34" t="str">
        <x:v>Contrastive</x:v>
      </x:c>
      <x:c r="E135" s="34" t="str">
        <x:v>Kinetics-400; Mini-Kinetics</x:v>
      </x:c>
      <x:c r="F135" s="34" t="str">
        <x:v>UCF101; HMDB51; Something-Something V2; FineGym Gym99; FineGym FX-S1; FineGym UB-S1; UCFRep; Charades; Diving48</x:v>
      </x:c>
      <x:c r="G135" s="34" t="str">
        <x:v>Kinetics-400; Mini-Kinetics; UCF101; HMDB51; Something-Something V2; FineGym Gym99; FineGym FX-S1; FineGym UB-S1; UCFRep; Charades; Diving48</x:v>
      </x:c>
      <x:c r="H135" s="36" t="str">
        <x:v>2023</x:v>
      </x:c>
      <x:c r="I135" s="34" t="str">
        <x:v>ICCV 2023</x:v>
      </x:c>
      <x:c r="J135" s="38" t="str">
        <x:v>No</x:v>
      </x:c>
      <x:c r="K135" s="38" t="str">
        <x:v>peer_reviewed</x:v>
      </x:c>
      <x:c r="L135" s="34" t="str"/>
      <x:c r="M135" s="34" t="str">
        <x:v>2303.11003</x:v>
      </x:c>
      <x:c r="N135" s="34" t="str">
        <x:v>https://openaccess.thecvf.com/content/ICCV2023/html/Thoker_Tubelet-Contrastive_Self-Supervision_for_Video-Efficient_Generalization_ICCV_2023_paper.html</x:v>
      </x:c>
      <x:c r="O135" s="34" t="str"/>
      <x:c r="P135" s="34" t="str"/>
      <x:c r="Q135" s="38" t="str">
        <x:v>2026-08-11</x:v>
      </x:c>
    </x:row>
    <x:row r="136" ht="44" customHeight="1">
      <x:c r="A136" s="34" t="str">
        <x:v>Uncovering the Hidden Dynamics of Video Self-supervised Learning under Distribution Shifts</x:v>
      </x:c>
      <x:c r="B136" s="34" t="str">
        <x:v>Pritam Sarkar, Ahmad Beirami, Ali Etemad</x:v>
      </x:c>
      <x:c r="C136" s="34" t="str">
        <x:v>Controlled comparison of v-SimCLR, v-MoCo, v-BYOL, v-SimSiam, v-DINO, and v-MAE</x:v>
      </x:c>
      <x:c r="D136" s="34" t="str">
        <x:v>Other / Hybrid</x:v>
      </x:c>
      <x:c r="E136" s="34" t="str">
        <x:v>Kinetics-400; Kinetics-700</x:v>
      </x:c>
      <x:c r="F136" s="34" t="str">
        <x:v>UCF101; HMDB51; Mimetics10; Mimetics50; Charades-Ego; TinyVIRAT-v2; Sims4Action; ActorShift; RareAct; Moments in Time v2; ToyBox; COIL-100; STL-10</x:v>
      </x:c>
      <x:c r="G136" s="34" t="str">
        <x:v>Kinetics-400; Kinetics-700; UCF101; HMDB51; Mimetics10; Mimetics50; Charades-Ego; TinyVIRAT-v2; Sims4Action; ActorShift; RareAct; Moments in Time v2; ToyBox; COIL-100; STL-10</x:v>
      </x:c>
      <x:c r="H136" s="36" t="str">
        <x:v>2023</x:v>
      </x:c>
      <x:c r="I136" s="34" t="str">
        <x:v>NeurIPS 2023</x:v>
      </x:c>
      <x:c r="J136" s="38" t="str">
        <x:v>Yes</x:v>
      </x:c>
      <x:c r="K136" s="38" t="str">
        <x:v>peer_reviewed</x:v>
      </x:c>
      <x:c r="L136" s="34" t="str">
        <x:v>10.52202/075280-2340</x:v>
      </x:c>
      <x:c r="M136" s="34" t="str"/>
      <x:c r="N136" s="34" t="str">
        <x:v>https://proceedings.neurips.cc/paper_files/paper/2023/hash/a86d17b6cd70366d56ab48d2a05a4df1-Abstract-Conference.html</x:v>
      </x:c>
      <x:c r="O136" s="34" t="str"/>
      <x:c r="P136" s="34" t="str"/>
      <x:c r="Q136" s="38" t="str">
        <x:v>2026-08-11</x:v>
      </x:c>
    </x:row>
    <x:row r="137" ht="44" customHeight="1">
      <x:c r="A137" s="34" t="str">
        <x:v>Unmasked Teacher: Towards Training-Efficient Video Foundation Models</x:v>
      </x:c>
      <x:c r="B137" s="34" t="str">
        <x:v>Kunchang Li, Yali Wang, Yizhuo Li, Yi Wang, Yinan He, Limin Wang, Yu Qiao</x:v>
      </x:c>
      <x:c r="C137" s="34" t="str">
        <x:v>Unmasked Teacher (UMT)</x:v>
      </x:c>
      <x:c r="D137" s="34" t="str">
        <x:v>Distillation / Teacher-Student</x:v>
      </x:c>
      <x:c r="E137" s="34" t="str">
        <x:v>Kinetics-710; Something-Something V2; Kinetics-400; WebVid-2M; WebVid-10M; Conceptual Captions 3M; Conceptual Captions 12M; COCO; Visual Genome; SBU Captions</x:v>
      </x:c>
      <x:c r="F137" s="34" t="str">
        <x:v>Kinetics-400; Kinetics-600; Kinetics-700; Something-Something V2; Moments in Time V1; AVA v2.2; MSR-VTT; DiDeMo; ActivityNet Captions; LSMDC; MSVD; ActivityNet-QA; MSRVTT-QA; MSRVTT-MC; MSVD-QA</x:v>
      </x:c>
      <x:c r="G137" s="34" t="str">
        <x:v>Kinetics-710; Something-Something V2; Kinetics-400; WebVid-2M; WebVid-10M; Conceptual Captions 3M; Conceptual Captions 12M; COCO; Visual Genome; SBU Captions; Kinetics-600; Kinetics-700; Moments in Time V1; AVA v2.2; MSR-VTT; DiDeMo; ActivityNet Captions; LSMDC; MSVD; ActivityNet-QA; MSRVTT-QA; MSRVTT-MC; MSVD-QA</x:v>
      </x:c>
      <x:c r="H137" s="36" t="str">
        <x:v>2023</x:v>
      </x:c>
      <x:c r="I137" s="34" t="str">
        <x:v>ICCV 2023</x:v>
      </x:c>
      <x:c r="J137" s="38" t="str">
        <x:v>No</x:v>
      </x:c>
      <x:c r="K137" s="38" t="str">
        <x:v>peer_reviewed</x:v>
      </x:c>
      <x:c r="L137" s="34" t="str"/>
      <x:c r="M137" s="34" t="str">
        <x:v>2303.16058</x:v>
      </x:c>
      <x:c r="N137" s="34" t="str">
        <x:v>https://openaccess.thecvf.com/content/ICCV2023/html/Li_Unmasked_Teacher_Towards_Training-Efficient_Video_Foundation_Models_ICCV_2023_paper.html</x:v>
      </x:c>
      <x:c r="O137" s="34" t="str"/>
      <x:c r="P137" s="34" t="str">
        <x:v>The multimodal variants use 5M, 17M, and 25M mixtures assembled from the listed image-text and video-text corpora.</x:v>
      </x:c>
      <x:c r="Q137" s="38" t="str">
        <x:v>2026-08-11</x:v>
      </x:c>
    </x:row>
    <x:row r="138" ht="44" customHeight="1">
      <x:c r="A138" s="34" t="str">
        <x:v>Unsupervised Video-Based Action Recognition With Imagining Motion and Perceiving Appearance</x:v>
      </x:c>
      <x:c r="B138" s="34" t="str">
        <x:v>Wei Lin , Xiaoyu Liu , Yihong Zhuang , Xinghao Ding , Xiaotong Tu , Yue Huang , Huanqiang Zeng</x:v>
      </x:c>
      <x:c r="C138" s="34" t="str">
        <x:v>IMPA</x:v>
      </x:c>
      <x:c r="D138" s="34" t="str">
        <x:v>Other / Hybrid</x:v>
      </x:c>
      <x:c r="E138" s="34" t="str">
        <x:v>UCF101; Kinetics-400</x:v>
      </x:c>
      <x:c r="F138" s="34" t="str">
        <x:v>UCF101; HMDB51</x:v>
      </x:c>
      <x:c r="G138" s="34" t="str">
        <x:v>UCF101; Kinetics-400; HMDB51</x:v>
      </x:c>
      <x:c r="H138" s="36" t="str">
        <x:v>2023</x:v>
      </x:c>
      <x:c r="I138" s="34" t="str">
        <x:v>IEEE Transactions on Circuits and Systems for Video Technology 2023</x:v>
      </x:c>
      <x:c r="J138" s="38" t="str">
        <x:v>No</x:v>
      </x:c>
      <x:c r="K138" s="38" t="str">
        <x:v>peer_reviewed</x:v>
      </x:c>
      <x:c r="L138" s="34" t="str">
        <x:v>10.1109/TCSVT.2022.3221280</x:v>
      </x:c>
      <x:c r="M138" s="34" t="str"/>
      <x:c r="N138" s="34" t="str">
        <x:v>https://ieeexplore.ieee.org/document/9944692</x:v>
      </x:c>
      <x:c r="O138" s="34" t="str"/>
      <x:c r="P138" s="34" t="str"/>
      <x:c r="Q138" s="38" t="str">
        <x:v>2026-08-11</x:v>
      </x:c>
    </x:row>
    <x:row r="139" ht="44" customHeight="1">
      <x:c r="A139" s="34" t="str">
        <x:v>Video Test-Time Adaptation for Action Recognition</x:v>
      </x:c>
      <x:c r="B139" s="34" t="str">
        <x:v>Wei Lin, Muhammad Jehanzeb Mirza, Mateusz Kozinski, Horst Possegger, Hilde Kuehne, and Horst Bischof</x:v>
      </x:c>
      <x:c r="C139" s="34" t="str">
        <x:v>ViTTA</x:v>
      </x:c>
      <x:c r="D139" s="34" t="str">
        <x:v>Other / Hybrid</x:v>
      </x:c>
      <x:c r="E139" s="34" t="str">
        <x:v>Kinetics-400; ImageNet-1K</x:v>
      </x:c>
      <x:c r="F139" s="34" t="str">
        <x:v>UCF101; Something-Something V2; Kinetics-400; UCF101-C; Something-Something V2-C; Kinetics-400-C</x:v>
      </x:c>
      <x:c r="G139" s="34" t="str">
        <x:v>Kinetics-400; ImageNet-1K; UCF101; Something-Something V2; UCF101-C; Something-Something V2-C; Kinetics-400-C</x:v>
      </x:c>
      <x:c r="H139" s="36" t="str">
        <x:v>2023</x:v>
      </x:c>
      <x:c r="I139" s="34" t="str">
        <x:v>CVPR 2023</x:v>
      </x:c>
      <x:c r="J139" s="38" t="str">
        <x:v>No</x:v>
      </x:c>
      <x:c r="K139" s="38" t="str">
        <x:v>peer_reviewed</x:v>
      </x:c>
      <x:c r="L139" s="34" t="str">
        <x:v>10.1109/CVPR52729.2023.02198</x:v>
      </x:c>
      <x:c r="M139" s="34" t="str">
        <x:v>2211.15393</x:v>
      </x:c>
      <x:c r="N139" s="34" t="str">
        <x:v>https://openaccess.thecvf.com/content/CVPR2023/html/Lin_Video_Test-Time_Adaptation_for_Action_Recognition_CVPR_2023_paper.html</x:v>
      </x:c>
      <x:c r="O139" s="34" t="str">
        <x:v>https://github.com/wlin-at/ViTTA</x:v>
      </x:c>
      <x:c r="P139" s="34" t="str">
        <x:v>The corrupted benchmark variants cover 12 common video corruptions.</x:v>
      </x:c>
      <x:c r="Q139" s="38" t="str">
        <x:v>2026-08-11</x:v>
      </x:c>
    </x:row>
    <x:row r="140" ht="44" customHeight="1">
      <x:c r="A140" s="34" t="str">
        <x:v>Videomae v2: Scaling Video Masked Autoencoders with Dual Masking</x:v>
      </x:c>
      <x:c r="B140" s="34" t="str">
        <x:v>Limin Wang, Bingkun Huang, Zhiyu Zhao, Zhan Tong, Yinan He, Yi Wang, Yali Wang, and Yu Qiao</x:v>
      </x:c>
      <x:c r="C140" s="34" t="str">
        <x:v>VideoMAE V2</x:v>
      </x:c>
      <x:c r="D140" s="34" t="str">
        <x:v>Generative / Masked</x:v>
      </x:c>
      <x:c r="E140" s="34" t="str">
        <x:v>UnlabeledHybrid; LabeledHybrid; Kinetics-400; Kinetics-600; Kinetics-700; Something-Something V2; AVA; WebVid-2M; Instagram videos</x:v>
      </x:c>
      <x:c r="F140" s="34" t="str">
        <x:v>Kinetics-400; Kinetics-600; Something-Something V1; Something-Something V2; UCF101; HMDB51; AVA; AVA-Kinetics; THUMOS14; FineAction</x:v>
      </x:c>
      <x:c r="G140" s="34" t="str">
        <x:v>UnlabeledHybrid; LabeledHybrid; Kinetics-400; Kinetics-600; Kinetics-700; Something-Something V2; AVA; WebVid-2M; Instagram videos; Something-Something V1; UCF101; HMDB51; AVA-Kinetics; THUMOS14; FineAction</x:v>
      </x:c>
      <x:c r="H140" s="36" t="str">
        <x:v>2023</x:v>
      </x:c>
      <x:c r="I140" s="34" t="str">
        <x:v>CVPR 2023</x:v>
      </x:c>
      <x:c r="J140" s="38" t="str">
        <x:v>No</x:v>
      </x:c>
      <x:c r="K140" s="38" t="str">
        <x:v>peer_reviewed</x:v>
      </x:c>
      <x:c r="L140" s="34" t="str"/>
      <x:c r="M140" s="34" t="str"/>
      <x:c r="N140" s="34" t="str">
        <x:v>https://openaccess.thecvf.com/content/CVPR2023/html/Wang_VideoMAE_V2_Scaling_Video_Masked_Autoencoders_With_Dual_Masking_CVPR_2023_paper.html</x:v>
      </x:c>
      <x:c r="O140" s="34" t="str"/>
      <x:c r="P140" s="34" t="str">
        <x:v>UnlabeledHybrid has about 1.35M clips from public datasets and web sources; LabeledHybrid aligns Kinetics-400/600/700 into 710 categories and about 0.66M clips.</x:v>
      </x:c>
      <x:c r="Q140" s="38" t="str">
        <x:v>2026-08-11</x:v>
      </x:c>
    </x:row>
    <x:row r="141" ht="44" customHeight="1">
      <x:c r="A141" s="34" t="str">
        <x:v>ViewCLR: Learning Self-supervised Video Representation for Unseen Viewpoints</x:v>
      </x:c>
      <x:c r="B141" s="34" t="str">
        <x:v>Srijan Das and Michael S Ryoo</x:v>
      </x:c>
      <x:c r="C141" s="34" t="str">
        <x:v>ViewCLR</x:v>
      </x:c>
      <x:c r="D141" s="34" t="str">
        <x:v>Contrastive</x:v>
      </x:c>
      <x:c r="E141" s="34" t="str">
        <x:v>NTU RGB+D 60; NTU RGB+D 120; Northwestern-UCLA</x:v>
      </x:c>
      <x:c r="F141" s="34" t="str">
        <x:v>NTU RGB+D 60; NTU RGB+D 120; Northwestern-UCLA</x:v>
      </x:c>
      <x:c r="G141" s="34" t="str">
        <x:v>NTU RGB+D 60; NTU RGB+D 120; Northwestern-UCLA</x:v>
      </x:c>
      <x:c r="H141" s="36" t="str">
        <x:v>2023</x:v>
      </x:c>
      <x:c r="I141" s="34" t="str">
        <x:v>WACV 2023</x:v>
      </x:c>
      <x:c r="J141" s="38" t="str">
        <x:v>No</x:v>
      </x:c>
      <x:c r="K141" s="38" t="str">
        <x:v>peer_reviewed</x:v>
      </x:c>
      <x:c r="L141" s="34" t="str"/>
      <x:c r="M141" s="34" t="str"/>
      <x:c r="N141" s="34" t="str">
        <x:v>https://openaccess.thecvf.com/content/WACV2023/html/Das_ViewCLR_Learning_Self-Supervised_Video_Representation_for_Unseen_Viewpoints_WACV_2023_paper.html</x:v>
      </x:c>
      <x:c r="O141" s="34" t="str"/>
      <x:c r="P141" s="34" t="str"/>
      <x:c r="Q141" s="38" t="str">
        <x:v>2026-08-11</x:v>
      </x:c>
    </x:row>
    <x:row r="142" ht="44" customHeight="1">
      <x:c r="A142" s="34" t="str">
        <x:v>An improved inter-intra contrastive learning framework on self-supervised video representation</x:v>
      </x:c>
      <x:c r="B142" s="34" t="str">
        <x:v>Li Tao, Xueting Wang, Toshihiko Yamasaki</x:v>
      </x:c>
      <x:c r="C142" s="34" t="str">
        <x:v>Improved Inter-Intra Contrastive Learning</x:v>
      </x:c>
      <x:c r="D142" s="34" t="str">
        <x:v>Contrastive</x:v>
      </x:c>
      <x:c r="E142" s="34" t="str">
        <x:v>UCF101; Kinetics-400</x:v>
      </x:c>
      <x:c r="F142" s="34" t="str">
        <x:v>UCF101; HMDB51</x:v>
      </x:c>
      <x:c r="G142" s="34" t="str">
        <x:v>UCF101; Kinetics-400; HMDB51</x:v>
      </x:c>
      <x:c r="H142" s="36" t="str">
        <x:v>2022</x:v>
      </x:c>
      <x:c r="I142" s="34" t="str">
        <x:v>IEEE Transactions on Circuits and Systems for Video Technology 2022</x:v>
      </x:c>
      <x:c r="J142" s="38" t="str">
        <x:v>No</x:v>
      </x:c>
      <x:c r="K142" s="38" t="str">
        <x:v>peer_reviewed</x:v>
      </x:c>
      <x:c r="L142" s="34" t="str"/>
      <x:c r="M142" s="34" t="str"/>
      <x:c r="N142" s="34" t="str">
        <x:v>https://ieeexplore.ieee.org/document/9674754</x:v>
      </x:c>
      <x:c r="O142" s="34" t="str"/>
      <x:c r="P142" s="34" t="str"/>
      <x:c r="Q142" s="38" t="str">
        <x:v>2026-08-11</x:v>
      </x:c>
    </x:row>
    <x:row r="143" ht="44" customHeight="1">
      <x:c r="A143" s="34" t="str">
        <x:v>Auxiliary Learning for Self-Supervised Video Representation via Similarity-based Knowledge Distillation</x:v>
      </x:c>
      <x:c r="B143" s="34" t="str">
        <x:v>Amirhossein Dadashzadeh, Alan Whone, Majid Mirmehdi</x:v>
      </x:c>
      <x:c r="C143" s="34" t="str">
        <x:v>AuxSKD</x:v>
      </x:c>
      <x:c r="D143" s="34" t="str">
        <x:v>Distillation / Teacher-Student</x:v>
      </x:c>
      <x:c r="E143" s="34" t="str">
        <x:v>Kinetics-100; Kinetics-400</x:v>
      </x:c>
      <x:c r="F143" s="34" t="str">
        <x:v>UCF101; HMDB51</x:v>
      </x:c>
      <x:c r="G143" s="34" t="str">
        <x:v>Kinetics-100; Kinetics-400; UCF101; HMDB51</x:v>
      </x:c>
      <x:c r="H143" s="36" t="str">
        <x:v>2022</x:v>
      </x:c>
      <x:c r="I143" s="34" t="str">
        <x:v>CVPR Workshops 2022</x:v>
      </x:c>
      <x:c r="J143" s="38" t="str">
        <x:v>No</x:v>
      </x:c>
      <x:c r="K143" s="38" t="str">
        <x:v>peer_reviewed</x:v>
      </x:c>
      <x:c r="L143" s="34" t="str"/>
      <x:c r="M143" s="34" t="str"/>
      <x:c r="N143" s="34" t="str">
        <x:v>https://openaccess.thecvf.com/content/CVPR2022W/L3D-IVU/html/Dadashzadeh_Auxiliary_Learning_for_Self-Supervised_Video_Representation_via_Similarity-Based_Knowledge_Distillation_CVPRW_2022_paper.html</x:v>
      </x:c>
      <x:c r="O143" s="34" t="str">
        <x:v>https://github.com/Plrbear/auxSKD</x:v>
      </x:c>
      <x:c r="P143" s="34" t="str"/>
      <x:c r="Q143" s="38" t="str">
        <x:v>2026-08-11</x:v>
      </x:c>
    </x:row>
    <x:row r="144" ht="44" customHeight="1">
      <x:c r="A144" s="34" t="str">
        <x:v>BEVT: BERT Pretraining of Video Transformers</x:v>
      </x:c>
      <x:c r="B144" s="34" t="str">
        <x:v>Rui Wang, Dongdong Chen, Zuxuan Wu, Yinpeng Chen, Xiyang Dai, Mengchen Liu, Yu-Gang Jiang, Luowei Zhou, Lu Yuan</x:v>
      </x:c>
      <x:c r="C144" s="34" t="str">
        <x:v>BEVT</x:v>
      </x:c>
      <x:c r="D144" s="34" t="str">
        <x:v>Generative / Masked</x:v>
      </x:c>
      <x:c r="E144" s="34" t="str">
        <x:v>ImageNet-1K; Kinetics-400; Something-Something V2; HowTo100M</x:v>
      </x:c>
      <x:c r="F144" s="34" t="str">
        <x:v>Kinetics-400; Something-Something V2; Diving48</x:v>
      </x:c>
      <x:c r="G144" s="34" t="str">
        <x:v>ImageNet-1K; Kinetics-400; Something-Something V2; HowTo100M; Diving48</x:v>
      </x:c>
      <x:c r="H144" s="36" t="str">
        <x:v>2022</x:v>
      </x:c>
      <x:c r="I144" s="34" t="str">
        <x:v>CVPR 2022</x:v>
      </x:c>
      <x:c r="J144" s="38" t="str">
        <x:v>No</x:v>
      </x:c>
      <x:c r="K144" s="38" t="str">
        <x:v>peer_reviewed</x:v>
      </x:c>
      <x:c r="L144" s="34" t="str"/>
      <x:c r="M144" s="34" t="str">
        <x:v>2112.01529</x:v>
      </x:c>
      <x:c r="N144" s="34" t="str">
        <x:v>https://openaccess.thecvf.com/content/CVPR2022/html/Wang_BEVT_BERT_Pretraining_of_Video_Transformers_CVPR_2022_paper.html</x:v>
      </x:c>
      <x:c r="O144" s="34" t="str"/>
      <x:c r="P144" s="34" t="str"/>
      <x:c r="Q144" s="38" t="str">
        <x:v>2026-08-11</x:v>
      </x:c>
    </x:row>
    <x:row r="145" ht="44" customHeight="1">
      <x:c r="A145" s="34" t="str">
        <x:v>Contextualized spatio-temporal contrastive learning with self-supervision</x:v>
      </x:c>
      <x:c r="B145" s="34" t="str">
        <x:v>Liangzhe Yuan, Rui Qian, Yin Cui, Boqing Gong,Florian Schroff,Ming-Hsuan Yang, Hartwig Adam, Ting Liu</x:v>
      </x:c>
      <x:c r="C145" s="34" t="str">
        <x:v>ConST-CL</x:v>
      </x:c>
      <x:c r="D145" s="34" t="str">
        <x:v>Contrastive</x:v>
      </x:c>
      <x:c r="E145" s="34" t="str">
        <x:v>Kinetics-400</x:v>
      </x:c>
      <x:c r="F145" s="34" t="str">
        <x:v>Kinetics-400; UCF101; HMDB51; AVA</x:v>
      </x:c>
      <x:c r="G145" s="34" t="str">
        <x:v>Kinetics-400; UCF101; HMDB51; AVA</x:v>
      </x:c>
      <x:c r="H145" s="36" t="str">
        <x:v>2022</x:v>
      </x:c>
      <x:c r="I145" s="34" t="str">
        <x:v>CVPR 2022</x:v>
      </x:c>
      <x:c r="J145" s="38" t="str">
        <x:v>No</x:v>
      </x:c>
      <x:c r="K145" s="38" t="str">
        <x:v>peer_reviewed</x:v>
      </x:c>
      <x:c r="L145" s="34" t="str"/>
      <x:c r="M145" s="34" t="str"/>
      <x:c r="N145" s="34" t="str">
        <x:v>https://openaccess.thecvf.com/content/CVPR2022/html/Yuan_Contextualized_Spatio-Temporal_Contrastive_Learning_With_Self-Supervision_CVPR_2022_paper.html</x:v>
      </x:c>
      <x:c r="O145" s="34" t="str">
        <x:v>https://github.com/tensorflow/models/tree/master/official/projects/const_cl</x:v>
      </x:c>
      <x:c r="P145" s="34" t="str"/>
      <x:c r="Q145" s="38" t="str">
        <x:v>2026-08-11</x:v>
      </x:c>
    </x:row>
    <x:row r="146" ht="44" customHeight="1">
      <x:c r="A146" s="34" t="str">
        <x:v>Contrastive predictive coding with transformer for video representation learning</x:v>
      </x:c>
      <x:c r="B146" s="34" t="str">
        <x:v>Yue Liu, Junqi Ma, Yufei Xie, Xuefeng Yang, Xingzhen Tao, Lin Peng, Wei Gao</x:v>
      </x:c>
      <x:c r="C146" s="34" t="str">
        <x:v>CPCTR</x:v>
      </x:c>
      <x:c r="D146" s="34" t="str">
        <x:v>Pretext / Predictive</x:v>
      </x:c>
      <x:c r="E146" s="34" t="str">
        <x:v>UCF101</x:v>
      </x:c>
      <x:c r="F146" s="34" t="str">
        <x:v>UCF101; HMDB51</x:v>
      </x:c>
      <x:c r="G146" s="34" t="str">
        <x:v>UCF101; HMDB51</x:v>
      </x:c>
      <x:c r="H146" s="36" t="str">
        <x:v>2022</x:v>
      </x:c>
      <x:c r="I146" s="34" t="str">
        <x:v>Neurocomputing 2022</x:v>
      </x:c>
      <x:c r="J146" s="38" t="str">
        <x:v>No</x:v>
      </x:c>
      <x:c r="K146" s="38" t="str">
        <x:v>peer_reviewed</x:v>
      </x:c>
      <x:c r="L146" s="34" t="str">
        <x:v>10.1016/j.neucom.2021.11.031</x:v>
      </x:c>
      <x:c r="M146" s="34" t="str"/>
      <x:c r="N146" s="34" t="str">
        <x:v>https://www.sciencedirect.com/science/article/pii/S0925231221017082</x:v>
      </x:c>
      <x:c r="O146" s="34" t="str">
        <x:v>https://github.com/yliu1229/CPCTR</x:v>
      </x:c>
      <x:c r="P146" s="34" t="str"/>
      <x:c r="Q146" s="38" t="str">
        <x:v>2026-08-11</x:v>
      </x:c>
    </x:row>
    <x:row r="147" ht="44" customHeight="1">
      <x:c r="A147" s="34" t="str">
        <x:v>Contrastive spatio-temporal pretext learning for self-supervised video representation</x:v>
      </x:c>
      <x:c r="B147" s="34" t="str">
        <x:v>Yujia Zhang, Lai-Man Po, Xuyuan Xu, Mengyang Liu, Yexin Wang, Weifeng Ou, Yuzhi Zhao, Wing-Yin Yu</x:v>
      </x:c>
      <x:c r="C147" s="34" t="str">
        <x:v>CSTP</x:v>
      </x:c>
      <x:c r="D147" s="34" t="str">
        <x:v>Other / Hybrid</x:v>
      </x:c>
      <x:c r="E147" s="34" t="str">
        <x:v>UCF101; Kinetics-400</x:v>
      </x:c>
      <x:c r="F147" s="34" t="str">
        <x:v>UCF101; HMDB51</x:v>
      </x:c>
      <x:c r="G147" s="34" t="str">
        <x:v>UCF101; Kinetics-400; HMDB51</x:v>
      </x:c>
      <x:c r="H147" s="36" t="str">
        <x:v>2022</x:v>
      </x:c>
      <x:c r="I147" s="34" t="str">
        <x:v>AAAI 2022</x:v>
      </x:c>
      <x:c r="J147" s="38" t="str">
        <x:v>No</x:v>
      </x:c>
      <x:c r="K147" s="38" t="str">
        <x:v>peer_reviewed</x:v>
      </x:c>
      <x:c r="L147" s="34" t="str">
        <x:v>10.1609/aaai.v36i3.20248</x:v>
      </x:c>
      <x:c r="M147" s="34" t="str">
        <x:v>2112.08913</x:v>
      </x:c>
      <x:c r="N147" s="34" t="str">
        <x:v>https://ojs.aaai.org/index.php/AAAI/article/view/20248</x:v>
      </x:c>
      <x:c r="O147" s="34" t="str">
        <x:v>https://github.com/KT27-A/CSTP</x:v>
      </x:c>
      <x:c r="P147" s="34" t="str"/>
      <x:c r="Q147" s="38" t="str">
        <x:v>2026-08-11</x:v>
      </x:c>
    </x:row>
    <x:row r="148" ht="44" customHeight="1">
      <x:c r="A148" s="34" t="str">
        <x:v>Cross-Architecture Self-supervised Video Representation Learning</x:v>
      </x:c>
      <x:c r="B148" s="34" t="str">
        <x:v>Sheng Guo, Zihua Xiong, Yujie Zhong, Limin Wang, Xiaobo Guo, Bing Han, Weilin Huang</x:v>
      </x:c>
      <x:c r="C148" s="34" t="str">
        <x:v>CACL</x:v>
      </x:c>
      <x:c r="D148" s="34" t="str">
        <x:v>Contrastive</x:v>
      </x:c>
      <x:c r="E148" s="34" t="str">
        <x:v>UCF101; Kinetics-400</x:v>
      </x:c>
      <x:c r="F148" s="34" t="str">
        <x:v>UCF101; HMDB51</x:v>
      </x:c>
      <x:c r="G148" s="34" t="str">
        <x:v>UCF101; Kinetics-400; HMDB51</x:v>
      </x:c>
      <x:c r="H148" s="36" t="str">
        <x:v>2022</x:v>
      </x:c>
      <x:c r="I148" s="34" t="str">
        <x:v>CVPR 2022</x:v>
      </x:c>
      <x:c r="J148" s="38" t="str">
        <x:v>No</x:v>
      </x:c>
      <x:c r="K148" s="38" t="str">
        <x:v>peer_reviewed</x:v>
      </x:c>
      <x:c r="L148" s="34" t="str"/>
      <x:c r="M148" s="34" t="str"/>
      <x:c r="N148" s="34" t="str">
        <x:v>https://openaccess.thecvf.com/content/CVPR2022/html/Guo_Cross-Architecture_Self-Supervised_Video_Representation_Learning_CVPR_2022_paper.html</x:v>
      </x:c>
      <x:c r="O148" s="34" t="str"/>
      <x:c r="P148" s="34" t="str"/>
      <x:c r="Q148" s="38" t="str">
        <x:v>2026-08-11</x:v>
      </x:c>
    </x:row>
    <x:row r="149" ht="44" customHeight="1">
      <x:c r="A149" s="34" t="str">
        <x:v>Dual Contrastive Learning for Spatio-temporal Representation</x:v>
      </x:c>
      <x:c r="B149" s="34" t="str">
        <x:v>Shuangrui Ding,, Rui Qian, and Hongkai Xiongo</x:v>
      </x:c>
      <x:c r="C149" s="34" t="str">
        <x:v>Dual Contrastive Learning (DCL)</x:v>
      </x:c>
      <x:c r="D149" s="34" t="str">
        <x:v>Contrastive</x:v>
      </x:c>
      <x:c r="E149" s="34" t="str">
        <x:v>Kinetics-400</x:v>
      </x:c>
      <x:c r="F149" s="34" t="str">
        <x:v>Kinetics-400; UCF101; HMDB51</x:v>
      </x:c>
      <x:c r="G149" s="34" t="str">
        <x:v>Kinetics-400; UCF101; HMDB51</x:v>
      </x:c>
      <x:c r="H149" s="36" t="str">
        <x:v>2022</x:v>
      </x:c>
      <x:c r="I149" s="34" t="str">
        <x:v>ACM Multimedia 2022</x:v>
      </x:c>
      <x:c r="J149" s="38" t="str">
        <x:v>No</x:v>
      </x:c>
      <x:c r="K149" s="38" t="str">
        <x:v>peer_reviewed</x:v>
      </x:c>
      <x:c r="L149" s="34" t="str">
        <x:v>10.1145/3503161.3547783</x:v>
      </x:c>
      <x:c r="M149" s="34" t="str"/>
      <x:c r="N149" s="34" t="str">
        <x:v>https://dl.acm.org/doi/10.1145/3503161.3547783</x:v>
      </x:c>
      <x:c r="O149" s="34" t="str"/>
      <x:c r="P149" s="34" t="str"/>
      <x:c r="Q149" s="38" t="str">
        <x:v>2026-08-11</x:v>
      </x:c>
    </x:row>
    <x:row r="150" ht="44" customHeight="1">
      <x:c r="A150" s="34" t="str">
        <x:v>Exploring Relations in Untrimmed Videos for Self-Supervised Learning</x:v>
      </x:c>
      <x:c r="B150" s="34" t="str">
        <x:v>Dezhao Luo, Bo Fang, Yu Zhou, Yucan Zhou, Dayan Wu, Weiping Wang</x:v>
      </x:c>
      <x:c r="C150" s="34" t="str">
        <x:v>ERUV</x:v>
      </x:c>
      <x:c r="D150" s="34" t="str">
        <x:v>Pretext / Predictive</x:v>
      </x:c>
      <x:c r="E150" s="34" t="str">
        <x:v>THUMOS14; UCF101</x:v>
      </x:c>
      <x:c r="F150" s="34" t="str">
        <x:v>UCF101; HMDB51</x:v>
      </x:c>
      <x:c r="G150" s="34" t="str">
        <x:v>THUMOS14; UCF101; HMDB51</x:v>
      </x:c>
      <x:c r="H150" s="36" t="str">
        <x:v>2022</x:v>
      </x:c>
      <x:c r="I150" s="34" t="str">
        <x:v>ACM Transactions on Multimedia Computing, Communications, and Applications 2022</x:v>
      </x:c>
      <x:c r="J150" s="38" t="str">
        <x:v>No</x:v>
      </x:c>
      <x:c r="K150" s="38" t="str">
        <x:v>peer_reviewed</x:v>
      </x:c>
      <x:c r="L150" s="34" t="str">
        <x:v>10.1145/3473342</x:v>
      </x:c>
      <x:c r="M150" s="34" t="str">
        <x:v>2008.02711</x:v>
      </x:c>
      <x:c r="N150" s="34" t="str">
        <x:v>https://dl.acm.org/doi/10.1145/3473342</x:v>
      </x:c>
      <x:c r="O150" s="34" t="str"/>
      <x:c r="P150" s="34" t="str"/>
      <x:c r="Q150" s="38" t="str">
        <x:v>2026-08-11</x:v>
      </x:c>
    </x:row>
    <x:row r="151" ht="44" customHeight="1">
      <x:c r="A151" s="34" t="str">
        <x:v>Federated Self-supervised Learning for Video Understanding</x:v>
      </x:c>
      <x:c r="B151" s="34" t="str">
        <x:v>Yasar Abbas Ur Rehman, Yan Gao, Jiajun Shen, Pedro Porto Buarque de Gusmão , Nicholas Lane</x:v>
      </x:c>
      <x:c r="C151" s="34" t="str">
        <x:v>FedVSSL</x:v>
      </x:c>
      <x:c r="D151" s="34" t="str">
        <x:v>Contrastive</x:v>
      </x:c>
      <x:c r="E151" s="34" t="str">
        <x:v>Kinetics-400; UCF101; HMDB51</x:v>
      </x:c>
      <x:c r="F151" s="34" t="str">
        <x:v>Kinetics-400; UCF101; HMDB51</x:v>
      </x:c>
      <x:c r="G151" s="34" t="str">
        <x:v>Kinetics-400; UCF101; HMDB51</x:v>
      </x:c>
      <x:c r="H151" s="36" t="str">
        <x:v>2022</x:v>
      </x:c>
      <x:c r="I151" s="34" t="str">
        <x:v>ECCV 2022</x:v>
      </x:c>
      <x:c r="J151" s="38" t="str">
        <x:v>No</x:v>
      </x:c>
      <x:c r="K151" s="38" t="str">
        <x:v>peer_reviewed</x:v>
      </x:c>
      <x:c r="L151" s="34" t="str">
        <x:v>10.1007/978-3-031-19821-2_29</x:v>
      </x:c>
      <x:c r="M151" s="34" t="str"/>
      <x:c r="N151" s="34" t="str">
        <x:v>https://link.springer.com/chapter/10.1007/978-3-031-19821-2_29</x:v>
      </x:c>
      <x:c r="O151" s="34" t="str">
        <x:v>https://github.com/yasar-rehman/FEDVSSL</x:v>
      </x:c>
      <x:c r="P151" s="34" t="str"/>
      <x:c r="Q151" s="38" t="str">
        <x:v>2026-08-11</x:v>
      </x:c>
    </x:row>
    <x:row r="152" ht="44" customHeight="1">
      <x:c r="A152" s="34" t="str">
        <x:v>Frame-wise Action Representations for Long Videos via Sequence Contrastive Learning</x:v>
      </x:c>
      <x:c r="B152" s="34" t="str">
        <x:v>Minghao Chen, Fangyun Wei, Chong Li, Deng Cai</x:v>
      </x:c>
      <x:c r="C152" s="34" t="str">
        <x:v>CARL</x:v>
      </x:c>
      <x:c r="D152" s="34" t="str">
        <x:v>Contrastive</x:v>
      </x:c>
      <x:c r="E152" s="34" t="str">
        <x:v>Penn Action; FineGym; Pouring</x:v>
      </x:c>
      <x:c r="F152" s="34" t="str">
        <x:v>Penn Action; FineGym; Pouring</x:v>
      </x:c>
      <x:c r="G152" s="34" t="str">
        <x:v>Penn Action; FineGym; Pouring</x:v>
      </x:c>
      <x:c r="H152" s="36" t="str">
        <x:v>2022</x:v>
      </x:c>
      <x:c r="I152" s="34" t="str">
        <x:v>CVPR 2022</x:v>
      </x:c>
      <x:c r="J152" s="38" t="str">
        <x:v>No</x:v>
      </x:c>
      <x:c r="K152" s="38" t="str">
        <x:v>peer_reviewed</x:v>
      </x:c>
      <x:c r="L152" s="34" t="str"/>
      <x:c r="M152" s="34" t="str"/>
      <x:c r="N152" s="34" t="str">
        <x:v>https://openaccess.thecvf.com/content/CVPR2022/html/Chen_Frame-Wise_Action_Representations_for_Long_Videos_via_Sequence_Contrastive_Learning_CVPR_2022_paper.html</x:v>
      </x:c>
      <x:c r="O152" s="34" t="str">
        <x:v>https://github.com/minghchen/CARL_code</x:v>
      </x:c>
      <x:c r="P152" s="34" t="str"/>
      <x:c r="Q152" s="38" t="str">
        <x:v>2026-08-11</x:v>
      </x:c>
    </x:row>
    <x:row r="153" ht="44" customHeight="1">
      <x:c r="A153" s="34" t="str">
        <x:v>GOCA: guided online cluster assignment for self-supervised video representation Learning</x:v>
      </x:c>
      <x:c r="B153" s="34" t="str">
        <x:v>Huseyin Coskun, Alireza Zareian, Joshua L. Moore, Federico Tombari, Chen Wang</x:v>
      </x:c>
      <x:c r="C153" s="34" t="str">
        <x:v>GOCA</x:v>
      </x:c>
      <x:c r="D153" s="34" t="str">
        <x:v>Contrastive</x:v>
      </x:c>
      <x:c r="E153" s="34" t="str">
        <x:v>UCF101; Kinetics-400</x:v>
      </x:c>
      <x:c r="F153" s="34" t="str">
        <x:v>UCF101; HMDB51; Diving48</x:v>
      </x:c>
      <x:c r="G153" s="34" t="str">
        <x:v>UCF101; Kinetics-400; HMDB51; Diving48</x:v>
      </x:c>
      <x:c r="H153" s="36" t="str">
        <x:v>2022</x:v>
      </x:c>
      <x:c r="I153" s="34" t="str">
        <x:v>ECCV 2022</x:v>
      </x:c>
      <x:c r="J153" s="38" t="str">
        <x:v>No</x:v>
      </x:c>
      <x:c r="K153" s="38" t="str">
        <x:v>peer_reviewed</x:v>
      </x:c>
      <x:c r="L153" s="34" t="str"/>
      <x:c r="M153" s="34" t="str">
        <x:v>2207.10158</x:v>
      </x:c>
      <x:c r="N153" s="34" t="str">
        <x:v>https://link.springer.com/chapter/10.1007/978-3-031-20050-2_15</x:v>
      </x:c>
      <x:c r="O153" s="34" t="str">
        <x:v>https://github.com/Seleucia/goca</x:v>
      </x:c>
      <x:c r="P153" s="34" t="str"/>
      <x:c r="Q153" s="38" t="str">
        <x:v>2026-08-11</x:v>
      </x:c>
    </x:row>
    <x:row r="154" ht="44" customHeight="1">
      <x:c r="A154" s="34" t="str">
        <x:v>Hierarchically decoupled spatial-temporal contrast for self-supervised video representation learning</x:v>
      </x:c>
      <x:c r="B154" s="34" t="str">
        <x:v>Zehua Zhang, David Crandall</x:v>
      </x:c>
      <x:c r="C154" s="34" t="str">
        <x:v>HDC</x:v>
      </x:c>
      <x:c r="D154" s="34" t="str">
        <x:v>Contrastive</x:v>
      </x:c>
      <x:c r="E154" s="34" t="str">
        <x:v>Kinetics-400</x:v>
      </x:c>
      <x:c r="F154" s="34" t="str">
        <x:v>UCF101; HMDB51</x:v>
      </x:c>
      <x:c r="G154" s="34" t="str">
        <x:v>Kinetics-400; UCF101; HMDB51</x:v>
      </x:c>
      <x:c r="H154" s="36" t="str">
        <x:v>2022</x:v>
      </x:c>
      <x:c r="I154" s="34" t="str">
        <x:v>WACV 2022</x:v>
      </x:c>
      <x:c r="J154" s="38" t="str">
        <x:v>No</x:v>
      </x:c>
      <x:c r="K154" s="38" t="str">
        <x:v>peer_reviewed</x:v>
      </x:c>
      <x:c r="L154" s="34" t="str"/>
      <x:c r="M154" s="34" t="str"/>
      <x:c r="N154" s="34" t="str">
        <x:v>https://openaccess.thecvf.com/content/WACV2022/html/Zhang_Hierarchically_Decoupled_Spatial-Temporal_Contrast_for_Self-Supervised_Video_Representation_Learning_WACV_2022_paper.html</x:v>
      </x:c>
      <x:c r="O154" s="34" t="str"/>
      <x:c r="P154" s="34" t="str"/>
      <x:c r="Q154" s="38" t="str">
        <x:v>2026-08-11</x:v>
      </x:c>
    </x:row>
    <x:row r="155" ht="44" customHeight="1">
      <x:c r="A155" s="34" t="str">
        <x:v>Inter-Intra Cross-Modality Self-Supervised Video Representation Learning by Contrastive Clustering</x:v>
      </x:c>
      <x:c r="B155" s="34" t="str">
        <x:v>Jiutong Wei. Guan Luo, Bing Li, Weiming Hu</x:v>
      </x:c>
      <x:c r="C155" s="34" t="str">
        <x:v>IICMVC</x:v>
      </x:c>
      <x:c r="D155" s="34" t="str">
        <x:v>Contrastive</x:v>
      </x:c>
      <x:c r="E155" s="34" t="str">
        <x:v>UCF101; Kinetics-400</x:v>
      </x:c>
      <x:c r="F155" s="34" t="str">
        <x:v>UCF101; HMDB51</x:v>
      </x:c>
      <x:c r="G155" s="34" t="str">
        <x:v>UCF101; Kinetics-400; HMDB51</x:v>
      </x:c>
      <x:c r="H155" s="36" t="str">
        <x:v>2022</x:v>
      </x:c>
      <x:c r="I155" s="34" t="str">
        <x:v>ICPR 2022</x:v>
      </x:c>
      <x:c r="J155" s="38" t="str">
        <x:v>No</x:v>
      </x:c>
      <x:c r="K155" s="38" t="str">
        <x:v>peer_reviewed</x:v>
      </x:c>
      <x:c r="L155" s="34" t="str"/>
      <x:c r="M155" s="34" t="str"/>
      <x:c r="N155" s="34" t="str">
        <x:v>https://ieeexplore.ieee.org/document/9956697</x:v>
      </x:c>
      <x:c r="O155" s="34" t="str"/>
      <x:c r="P155" s="34" t="str"/>
      <x:c r="Q155" s="38" t="str">
        <x:v>2026-08-11</x:v>
      </x:c>
    </x:row>
    <x:row r="156" ht="44" customHeight="1">
      <x:c r="A156" s="34" t="str">
        <x:v>InternVideo: General Video Foundation Models via Generative and Discriminative Learning</x:v>
      </x:c>
      <x:c r="B156" s="34" t="str">
        <x:v>Yi Wang, Kunchang Li, Yizhuo Li, Yinan He, Bingkun Huang, Zhiyu Zhao, Hongjie Zhang,Jilan Xu, Yi Liu, Zun Wang, Sen Xing, Guo Chen, Junting Pan, Jiashuo Yu,Yali Wang, Limin Wang, Yu Qiao</x:v>
      </x:c>
      <x:c r="C156" s="34" t="str">
        <x:v>InternVideo</x:v>
      </x:c>
      <x:c r="D156" s="34" t="str">
        <x:v>Other / Hybrid</x:v>
      </x:c>
      <x:c r="E156" s="34" t="str">
        <x:v>Kinetics-400; Something-Something V2; WebVid-2M; WebVid-10M; HowTo100M; LAION-400M</x:v>
      </x:c>
      <x:c r="F156" s="34" t="str">
        <x:v>Kinetics-400; Kinetics-600; Something-Something V2; ActivityNet; AVA; THUMOS14; UCF101; HMDB51; MSR-VTT; MSVD; DiDeMo; LSMDC; ActivityNet Captions</x:v>
      </x:c>
      <x:c r="G156" s="34" t="str">
        <x:v>Kinetics-400; Something-Something V2; WebVid-2M; WebVid-10M; HowTo100M; LAION-400M; Kinetics-600; ActivityNet; AVA; THUMOS14; UCF101; HMDB51; MSR-VTT; MSVD; DiDeMo; LSMDC; ActivityNet Captions</x:v>
      </x:c>
      <x:c r="H156" s="36" t="str">
        <x:v>2022</x:v>
      </x:c>
      <x:c r="I156" s="34" t="str">
        <x:v>arXiv / Preprint</x:v>
      </x:c>
      <x:c r="J156" s="38" t="str">
        <x:v>No</x:v>
      </x:c>
      <x:c r="K156" s="38" t="str">
        <x:v>preprint</x:v>
      </x:c>
      <x:c r="L156" s="34" t="str"/>
      <x:c r="M156" s="34" t="str">
        <x:v>2212.03191</x:v>
      </x:c>
      <x:c r="N156" s="34" t="str">
        <x:v>https://arxiv.org/abs/2212.03191</x:v>
      </x:c>
      <x:c r="O156" s="34" t="str">
        <x:v>https://github.com/OpenGVLab/InternVideo</x:v>
      </x:c>
      <x:c r="P156" s="34" t="str">
        <x:v>The paper evaluates 39 datasets; the catalog lists the principal action, detection, and video-language benchmarks.</x:v>
      </x:c>
      <x:c r="Q156" s="38" t="str">
        <x:v>2026-08-11</x:v>
      </x:c>
    </x:row>
    <x:row r="157" ht="44" customHeight="1">
      <x:c r="A157" s="34" t="str">
        <x:v>It Takes Two: Masked Appearance-Motion Modeling for Self-supervised Video Transformer Pre-training</x:v>
      </x:c>
      <x:c r="B157" s="34" t="str">
        <x:v>Yuxin Song, Min Yang, Wenhao Wu, Dongliang He, Fu Li, Jingdong Wang</x:v>
      </x:c>
      <x:c r="C157" s="34" t="str">
        <x:v>MAM2</x:v>
      </x:c>
      <x:c r="D157" s="34" t="str">
        <x:v>Generative / Masked</x:v>
      </x:c>
      <x:c r="E157" s="34" t="str">
        <x:v>Kinetics-400; Something-Something V2; UCF101; HMDB51</x:v>
      </x:c>
      <x:c r="F157" s="34" t="str">
        <x:v>Kinetics-400; Something-Something V2; UCF101; HMDB51</x:v>
      </x:c>
      <x:c r="G157" s="34" t="str">
        <x:v>Kinetics-400; Something-Something V2; UCF101; HMDB51</x:v>
      </x:c>
      <x:c r="H157" s="36" t="str">
        <x:v>2022</x:v>
      </x:c>
      <x:c r="I157" s="34" t="str">
        <x:v>arXiv / Preprint</x:v>
      </x:c>
      <x:c r="J157" s="38" t="str">
        <x:v>No</x:v>
      </x:c>
      <x:c r="K157" s="38" t="str">
        <x:v>preprint</x:v>
      </x:c>
      <x:c r="L157" s="34" t="str"/>
      <x:c r="M157" s="34" t="str">
        <x:v>2210.05234</x:v>
      </x:c>
      <x:c r="N157" s="34" t="str">
        <x:v>https://arxiv.org/abs/2210.05234</x:v>
      </x:c>
      <x:c r="O157" s="34" t="str"/>
      <x:c r="P157" s="34" t="str"/>
      <x:c r="Q157" s="38" t="str">
        <x:v>2026-08-11</x:v>
      </x:c>
    </x:row>
    <x:row r="158" ht="44" customHeight="1">
      <x:c r="A158" s="34" t="str">
        <x:v>LAVA: Language Audio Vision Alignment for Data-Efficient Video Pre-Training</x:v>
      </x:c>
      <x:c r="B158" s="34" t="str">
        <x:v>Sumanth Gurram , Andy Fang , David Chan , John Canny</x:v>
      </x:c>
      <x:c r="C158" s="34" t="str">
        <x:v>LAVA</x:v>
      </x:c>
      <x:c r="D158" s="34" t="str">
        <x:v>Multimodal / Audio-Visual</x:v>
      </x:c>
      <x:c r="E158" s="34" t="str">
        <x:v>Kinetics-700</x:v>
      </x:c>
      <x:c r="F158" s="34" t="str">
        <x:v>UCF101; HMDB51; ESC-50</x:v>
      </x:c>
      <x:c r="G158" s="34" t="str">
        <x:v>Kinetics-700; UCF101; HMDB51; ESC-50</x:v>
      </x:c>
      <x:c r="H158" s="36" t="str">
        <x:v>2022</x:v>
      </x:c>
      <x:c r="I158" s="34" t="str">
        <x:v>ICML Pre-training Workshop 2022</x:v>
      </x:c>
      <x:c r="J158" s="38" t="str">
        <x:v>No</x:v>
      </x:c>
      <x:c r="K158" s="38" t="str">
        <x:v>peer_reviewed</x:v>
      </x:c>
      <x:c r="L158" s="34" t="str"/>
      <x:c r="M158" s="34" t="str">
        <x:v>2207.08024</x:v>
      </x:c>
      <x:c r="N158" s="34" t="str">
        <x:v>https://openreview.net/forum?id=uwcwviTrLY3</x:v>
      </x:c>
      <x:c r="O158" s="34" t="str"/>
      <x:c r="P158" s="34" t="str">
        <x:v>The study uses about 300,000 Kinetics-700 clips with usable audio from an initial 480,000-video collection.</x:v>
      </x:c>
      <x:c r="Q158" s="38" t="str">
        <x:v>2026-08-11</x:v>
      </x:c>
    </x:row>
    <x:row r="159" ht="44" customHeight="1">
      <x:c r="A159" s="34" t="str">
        <x:v>Learning Audio-Visual Speech Representation by Masked Multimodal Cluster Prediction</x:v>
      </x:c>
      <x:c r="B159" s="34" t="str">
        <x:v>Shi, B., Hsu, W. N., Lakhotia, K., &amp; Mohamed, A.</x:v>
      </x:c>
      <x:c r="C159" s="34" t="str">
        <x:v>AV-HuBERT</x:v>
      </x:c>
      <x:c r="D159" s="34" t="str">
        <x:v>Multimodal / Audio-Visual</x:v>
      </x:c>
      <x:c r="E159" s="34" t="str">
        <x:v>LRS3; VoxCeleb2</x:v>
      </x:c>
      <x:c r="F159" s="34" t="str">
        <x:v>LRS3</x:v>
      </x:c>
      <x:c r="G159" s="34" t="str">
        <x:v>LRS3; VoxCeleb2</x:v>
      </x:c>
      <x:c r="H159" s="36" t="str">
        <x:v>2022</x:v>
      </x:c>
      <x:c r="I159" s="34" t="str">
        <x:v>ICLR 2022</x:v>
      </x:c>
      <x:c r="J159" s="38" t="str">
        <x:v>No</x:v>
      </x:c>
      <x:c r="K159" s="38" t="str">
        <x:v>peer_reviewed</x:v>
      </x:c>
      <x:c r="L159" s="34" t="str"/>
      <x:c r="M159" s="34" t="str">
        <x:v>2201.02184</x:v>
      </x:c>
      <x:c r="N159" s="34" t="str">
        <x:v>https://openreview.net/forum?id=Z1Qlm11uOM</x:v>
      </x:c>
      <x:c r="O159" s="34" t="str"/>
      <x:c r="P159" s="34" t="str"/>
      <x:c r="Q159" s="38" t="str">
        <x:v>2026-08-11</x:v>
      </x:c>
    </x:row>
    <x:row r="160" ht="44" customHeight="1">
      <x:c r="A160" s="34" t="str">
        <x:v>Learning from untrimmed videos: Self-supervised video representation learning with hierarchical consistency</x:v>
      </x:c>
      <x:c r="B160" s="34" t="str">
        <x:v>Zhiwu Qing, Shiwei Zhang, Ziyuan Huang, Yi Xu, Xiang Wang, Mingqian Tang, Changxin Gao, Rong Jin,Nong Sang</x:v>
      </x:c>
      <x:c r="C160" s="34" t="str">
        <x:v>HiCo</x:v>
      </x:c>
      <x:c r="D160" s="34" t="str">
        <x:v>Contrastive</x:v>
      </x:c>
      <x:c r="E160" s="34" t="str">
        <x:v>Kinetics-400</x:v>
      </x:c>
      <x:c r="F160" s="34" t="str">
        <x:v>Kinetics-400; UCF101; HMDB51; ActivityNet</x:v>
      </x:c>
      <x:c r="G160" s="34" t="str">
        <x:v>Kinetics-400; UCF101; HMDB51; ActivityNet</x:v>
      </x:c>
      <x:c r="H160" s="36" t="str">
        <x:v>2022</x:v>
      </x:c>
      <x:c r="I160" s="34" t="str">
        <x:v>CVPR 2022</x:v>
      </x:c>
      <x:c r="J160" s="38" t="str">
        <x:v>No</x:v>
      </x:c>
      <x:c r="K160" s="38" t="str">
        <x:v>peer_reviewed</x:v>
      </x:c>
      <x:c r="L160" s="34" t="str"/>
      <x:c r="M160" s="34" t="str"/>
      <x:c r="N160" s="34" t="str">
        <x:v>https://openaccess.thecvf.com/content/CVPR2022/html/Qing_Learning_From_Untrimmed_Videos_Self-Supervised_Video_Representation_Learning_With_Hierarchical_CVPR_2022_paper.html</x:v>
      </x:c>
      <x:c r="O160" s="34" t="str">
        <x:v>https://hico-cvpr2022.github.io/</x:v>
      </x:c>
      <x:c r="P160" s="34" t="str"/>
      <x:c r="Q160" s="38" t="str">
        <x:v>2026-08-11</x:v>
      </x:c>
    </x:row>
    <x:row r="161" ht="44" customHeight="1">
      <x:c r="A161" s="34" t="str">
        <x:v>MAC: Mask-Augmentation for Motion-Aware Video Representation Learning</x:v>
      </x:c>
      <x:c r="B161" s="34" t="str">
        <x:v>Arif Akar, Ufuk Umut Senturk, and Nazli Ikizler-Cinbis.</x:v>
      </x:c>
      <x:c r="C161" s="34" t="str">
        <x:v>MAC</x:v>
      </x:c>
      <x:c r="D161" s="34" t="str">
        <x:v>Contrastive</x:v>
      </x:c>
      <x:c r="E161" s="34" t="str">
        <x:v>Kinetics-400; UCF101</x:v>
      </x:c>
      <x:c r="F161" s="34" t="str">
        <x:v>UCF101; HMDB51</x:v>
      </x:c>
      <x:c r="G161" s="34" t="str">
        <x:v>Kinetics-400; UCF101; HMDB51</x:v>
      </x:c>
      <x:c r="H161" s="36" t="str">
        <x:v>2022</x:v>
      </x:c>
      <x:c r="I161" s="34" t="str">
        <x:v>BMVC 2022</x:v>
      </x:c>
      <x:c r="J161" s="38" t="str">
        <x:v>No</x:v>
      </x:c>
      <x:c r="K161" s="38" t="str">
        <x:v>peer_reviewed</x:v>
      </x:c>
      <x:c r="L161" s="34" t="str"/>
      <x:c r="M161" s="34" t="str"/>
      <x:c r="N161" s="34" t="str">
        <x:v>https://bmvc2022.mpi-inf.mpg.de/5/</x:v>
      </x:c>
      <x:c r="O161" s="34" t="str">
        <x:v>https://github.com/ufukpage/MAC_SSL</x:v>
      </x:c>
      <x:c r="P161" s="34" t="str"/>
      <x:c r="Q161" s="38" t="str">
        <x:v>2026-08-11</x:v>
      </x:c>
    </x:row>
    <x:row r="162" ht="44" customHeight="1">
      <x:c r="A162" s="34" t="str">
        <x:v>MaMiCo: Macro-to-Micro Semantic Correspondence for Self-supervised Video Representation Learning</x:v>
      </x:c>
      <x:c r="B162" s="34" t="str">
        <x:v>Bo Fang, Wenhao Wu, Chang Liu, Yu Zhou, Dongliang He, Weiping Wang</x:v>
      </x:c>
      <x:c r="C162" s="34" t="str">
        <x:v>MaMiCo</x:v>
      </x:c>
      <x:c r="D162" s="34" t="str">
        <x:v>Contrastive</x:v>
      </x:c>
      <x:c r="E162" s="34" t="str">
        <x:v>AVA; AVA-Kinetics; JHMDB-21; UCF101-24</x:v>
      </x:c>
      <x:c r="F162" s="34" t="str">
        <x:v>AVA; AVA-Kinetics; JHMDB-21; UCF101-24</x:v>
      </x:c>
      <x:c r="G162" s="34" t="str">
        <x:v>AVA; AVA-Kinetics; JHMDB-21; UCF101-24</x:v>
      </x:c>
      <x:c r="H162" s="36" t="str">
        <x:v>2022</x:v>
      </x:c>
      <x:c r="I162" s="34" t="str">
        <x:v>ACM Multimedia 2022</x:v>
      </x:c>
      <x:c r="J162" s="38" t="str">
        <x:v>No</x:v>
      </x:c>
      <x:c r="K162" s="38" t="str">
        <x:v>peer_reviewed</x:v>
      </x:c>
      <x:c r="L162" s="34" t="str">
        <x:v>10.1145/3503161.3547888</x:v>
      </x:c>
      <x:c r="M162" s="34" t="str"/>
      <x:c r="N162" s="34" t="str">
        <x:v>https://dl.acm.org/doi/10.1145/3503161.3547888</x:v>
      </x:c>
      <x:c r="O162" s="34" t="str"/>
      <x:c r="P162" s="34" t="str">
        <x:v>The paper reports action-detection protocols; the listed corpora are used across representation learning and downstream evaluation.</x:v>
      </x:c>
      <x:c r="Q162" s="38" t="str">
        <x:v>2026-08-11</x:v>
      </x:c>
    </x:row>
    <x:row r="163" ht="44" customHeight="1">
      <x:c r="A163" s="34" t="str">
        <x:v>Masked Autoencoders As Spatiotemporal Learners</x:v>
      </x:c>
      <x:c r="B163" s="34" t="str">
        <x:v>Christoph Feichtenhofer, Haoqi Fan, Yanghao Li, Kaiming He</x:v>
      </x:c>
      <x:c r="C163" s="34" t="str">
        <x:v>MAE-ST</x:v>
      </x:c>
      <x:c r="D163" s="34" t="str">
        <x:v>Generative / Masked</x:v>
      </x:c>
      <x:c r="E163" s="34" t="str">
        <x:v>ImageNet-1K; Kinetics-400; Kinetics-600; Kinetics-700; Instagram videos</x:v>
      </x:c>
      <x:c r="F163" s="34" t="str">
        <x:v>Kinetics-400; AVA v2.2; Something-Something V2</x:v>
      </x:c>
      <x:c r="G163" s="34" t="str">
        <x:v>ImageNet-1K; Kinetics-400; Kinetics-600; Kinetics-700; Instagram videos; AVA v2.2; Something-Something V2</x:v>
      </x:c>
      <x:c r="H163" s="36" t="str">
        <x:v>2022</x:v>
      </x:c>
      <x:c r="I163" s="34" t="str">
        <x:v>NeurIPS 2022</x:v>
      </x:c>
      <x:c r="J163" s="38" t="str">
        <x:v>Yes</x:v>
      </x:c>
      <x:c r="K163" s="38" t="str">
        <x:v>peer_reviewed</x:v>
      </x:c>
      <x:c r="L163" s="34" t="str"/>
      <x:c r="M163" s="34" t="str">
        <x:v>2205.09113</x:v>
      </x:c>
      <x:c r="N163" s="34" t="str">
        <x:v>https://proceedings.neurips.cc/paper_files/paper/2022/hash/e97d1081481a4017df96b51be31001d3-Abstract-Conference.html</x:v>
      </x:c>
      <x:c r="O163" s="34" t="str"/>
      <x:c r="P163" s="34" t="str"/>
      <x:c r="Q163" s="38" t="str">
        <x:v>2026-08-11</x:v>
      </x:c>
    </x:row>
    <x:row r="164" ht="44" customHeight="1">
      <x:c r="A164" s="34" t="str">
        <x:v>Masked Feature Prediction for Self-Supervised Visual Pre-Training</x:v>
      </x:c>
      <x:c r="B164" s="34" t="str">
        <x:v>Wei, C., Fan, H., Xie, S., Wu, C. Y., Yuille, A., &amp; Feichtenhofer, C.</x:v>
      </x:c>
      <x:c r="C164" s="34" t="str">
        <x:v>MaskFeat</x:v>
      </x:c>
      <x:c r="D164" s="34" t="str">
        <x:v>Generative / Masked</x:v>
      </x:c>
      <x:c r="E164" s="34" t="str">
        <x:v>Kinetics-400</x:v>
      </x:c>
      <x:c r="F164" s="34" t="str">
        <x:v>Kinetics-400; Kinetics-600; Kinetics-700; Something-Something V2; AVA</x:v>
      </x:c>
      <x:c r="G164" s="34" t="str">
        <x:v>Kinetics-400; Kinetics-600; Kinetics-700; Something-Something V2; AVA</x:v>
      </x:c>
      <x:c r="H164" s="36" t="str">
        <x:v>2022</x:v>
      </x:c>
      <x:c r="I164" s="34" t="str">
        <x:v>CVPR 2022</x:v>
      </x:c>
      <x:c r="J164" s="38" t="str">
        <x:v>No</x:v>
      </x:c>
      <x:c r="K164" s="38" t="str">
        <x:v>peer_reviewed</x:v>
      </x:c>
      <x:c r="L164" s="34" t="str"/>
      <x:c r="M164" s="34" t="str">
        <x:v>2112.09133</x:v>
      </x:c>
      <x:c r="N164" s="34" t="str">
        <x:v>https://openaccess.thecvf.com/content/CVPR2022/html/Wei_Masked_Feature_Prediction_for_Self-Supervised_Visual_Pre-Training_CVPR_2022_paper.html</x:v>
      </x:c>
      <x:c r="O164" s="34" t="str"/>
      <x:c r="P164" s="34" t="str"/>
      <x:c r="Q164" s="38" t="str">
        <x:v>2026-08-11</x:v>
      </x:c>
    </x:row>
    <x:row r="165" ht="44" customHeight="1">
      <x:c r="A165" s="34" t="str">
        <x:v>MoQuad: Motion-focused Quadruple Construction for Video Contrastive Learning</x:v>
      </x:c>
      <x:c r="B165" s="34" t="str">
        <x:v>Yuan Liu, Jiacheng Chen, Hao Wu</x:v>
      </x:c>
      <x:c r="C165" s="34" t="str">
        <x:v>MoQuad</x:v>
      </x:c>
      <x:c r="D165" s="34" t="str">
        <x:v>Contrastive</x:v>
      </x:c>
      <x:c r="E165" s="34" t="str">
        <x:v>Kinetics-400</x:v>
      </x:c>
      <x:c r="F165" s="34" t="str">
        <x:v>UCF101; HMDB51; Diving48</x:v>
      </x:c>
      <x:c r="G165" s="34" t="str">
        <x:v>Kinetics-400; UCF101; HMDB51; Diving48</x:v>
      </x:c>
      <x:c r="H165" s="36" t="str">
        <x:v>2022</x:v>
      </x:c>
      <x:c r="I165" s="34" t="str">
        <x:v>ECCV Workshops 2022</x:v>
      </x:c>
      <x:c r="J165" s="38" t="str">
        <x:v>No</x:v>
      </x:c>
      <x:c r="K165" s="38" t="str">
        <x:v>peer_reviewed</x:v>
      </x:c>
      <x:c r="L165" s="34" t="str">
        <x:v>10.1007/978-3-031-25069-9_2</x:v>
      </x:c>
      <x:c r="M165" s="34" t="str">
        <x:v>2212.10870</x:v>
      </x:c>
      <x:c r="N165" s="34" t="str">
        <x:v>https://link.springer.com/chapter/10.1007/978-3-031-25069-9_2</x:v>
      </x:c>
      <x:c r="O165" s="34" t="str"/>
      <x:c r="P165" s="34" t="str"/>
      <x:c r="Q165" s="38" t="str">
        <x:v>2026-08-11</x:v>
      </x:c>
    </x:row>
    <x:row r="166" ht="44" customHeight="1">
      <x:c r="A166" s="34" t="str">
        <x:v>Motion Sensitive Contrastive Learning for Self-supervised Video Representation</x:v>
      </x:c>
      <x:c r="B166" s="34" t="str">
        <x:v>Jingcheng Ni, Nan Zhou, Jie Qin, Qian Wu, Junqi Liu, Boxun Li, Di Huang</x:v>
      </x:c>
      <x:c r="C166" s="34" t="str">
        <x:v>MoSI</x:v>
      </x:c>
      <x:c r="D166" s="34" t="str">
        <x:v>Contrastive</x:v>
      </x:c>
      <x:c r="E166" s="34" t="str">
        <x:v>Kinetics-400</x:v>
      </x:c>
      <x:c r="F166" s="34" t="str">
        <x:v>Kinetics-400; UCF101; HMDB51; Something-Something V2</x:v>
      </x:c>
      <x:c r="G166" s="34" t="str">
        <x:v>Kinetics-400; UCF101; HMDB51; Something-Something V2</x:v>
      </x:c>
      <x:c r="H166" s="36" t="str">
        <x:v>2022</x:v>
      </x:c>
      <x:c r="I166" s="34" t="str">
        <x:v>ECCV 2022</x:v>
      </x:c>
      <x:c r="J166" s="38" t="str">
        <x:v>No</x:v>
      </x:c>
      <x:c r="K166" s="38" t="str">
        <x:v>peer_reviewed</x:v>
      </x:c>
      <x:c r="L166" s="34" t="str">
        <x:v>10.1007/978-3-031-19833-5_27</x:v>
      </x:c>
      <x:c r="M166" s="34" t="str"/>
      <x:c r="N166" s="34" t="str">
        <x:v>https://link.springer.com/chapter/10.1007/978-3-031-19833-5_27</x:v>
      </x:c>
      <x:c r="O166" s="34" t="str"/>
      <x:c r="P166" s="34" t="str"/>
      <x:c r="Q166" s="38" t="str">
        <x:v>2026-08-11</x:v>
      </x:c>
    </x:row>
    <x:row r="167" ht="44" customHeight="1">
      <x:c r="A167" s="34" t="str">
        <x:v>Motion-aware contrastive video representation learning via foreground-background merging</x:v>
      </x:c>
      <x:c r="B167" s="34" t="str">
        <x:v>Shuangrui Ding, Maomao Li, Tianyu Yang, Rui Qian, Haohang Xu, Qingyi Chen, Jue Wang, Hongkai Xiong</x:v>
      </x:c>
      <x:c r="C167" s="34" t="str">
        <x:v>FAME</x:v>
      </x:c>
      <x:c r="D167" s="34" t="str">
        <x:v>Contrastive</x:v>
      </x:c>
      <x:c r="E167" s="34" t="str">
        <x:v>Kinetics-400</x:v>
      </x:c>
      <x:c r="F167" s="34" t="str">
        <x:v>Kinetics-400; UCF101; HMDB51; Diving48</x:v>
      </x:c>
      <x:c r="G167" s="34" t="str">
        <x:v>Kinetics-400; UCF101; HMDB51; Diving48</x:v>
      </x:c>
      <x:c r="H167" s="36" t="str">
        <x:v>2022</x:v>
      </x:c>
      <x:c r="I167" s="34" t="str">
        <x:v>CVPR 2022</x:v>
      </x:c>
      <x:c r="J167" s="38" t="str">
        <x:v>No</x:v>
      </x:c>
      <x:c r="K167" s="38" t="str">
        <x:v>peer_reviewed</x:v>
      </x:c>
      <x:c r="L167" s="34" t="str"/>
      <x:c r="M167" s="34" t="str"/>
      <x:c r="N167" s="34" t="str">
        <x:v>https://openaccess.thecvf.com/content/CVPR2022/html/Ding_Motion-Aware_Contrastive_Video_Representation_Learning_via_Foreground-Background_Merging_CVPR_2022_paper.html</x:v>
      </x:c>
      <x:c r="O167" s="34" t="str">
        <x:v>https://github.com/Mark12Ding/FAME</x:v>
      </x:c>
      <x:c r="P167" s="34" t="str"/>
      <x:c r="Q167" s="38" t="str">
        <x:v>2026-08-11</x:v>
      </x:c>
    </x:row>
    <x:row r="168" ht="44" customHeight="1">
      <x:c r="A168" s="34" t="str">
        <x:v>On Negative Sampling for Audio-Visual Contrastive Learning from Movies</x:v>
      </x:c>
      <x:c r="B168" s="34" t="str">
        <x:v>Mahdi M. Kalayeh, Shervin Ardeshir, Lingyi Liu, Nagendra Kamath, Ashok Chandrashekar</x:v>
      </x:c>
      <x:c r="C168" s="34" t="str">
        <x:v>Within-Movie Audio-Visual Negative Sampling</x:v>
      </x:c>
      <x:c r="D168" s="34" t="str">
        <x:v>Multimodal / Audio-Visual</x:v>
      </x:c>
      <x:c r="E168" s="34" t="str">
        <x:v>Long-form movies</x:v>
      </x:c>
      <x:c r="F168" s="34" t="str">
        <x:v>UCF101; HMDB51; ESC-50</x:v>
      </x:c>
      <x:c r="G168" s="34" t="str">
        <x:v>Long-form movies; UCF101; HMDB51; ESC-50</x:v>
      </x:c>
      <x:c r="H168" s="36" t="str">
        <x:v>2022</x:v>
      </x:c>
      <x:c r="I168" s="34" t="str">
        <x:v>arXiv / Preprint</x:v>
      </x:c>
      <x:c r="J168" s="38" t="str">
        <x:v>No</x:v>
      </x:c>
      <x:c r="K168" s="38" t="str">
        <x:v>preprint</x:v>
      </x:c>
      <x:c r="L168" s="34" t="str"/>
      <x:c r="M168" s="34" t="str">
        <x:v>2205.00073</x:v>
      </x:c>
      <x:c r="N168" s="34" t="str">
        <x:v>https://arxiv.org/abs/2205.00073</x:v>
      </x:c>
      <x:c r="O168" s="34" t="str"/>
      <x:c r="P168" s="34" t="str">
        <x:v>The pretraining collection is described as uncurated long-form movies rather than released as a named benchmark.</x:v>
      </x:c>
      <x:c r="Q168" s="38" t="str">
        <x:v>2026-08-11</x:v>
      </x:c>
    </x:row>
    <x:row r="169" ht="44" customHeight="1">
      <x:c r="A169" s="34" t="str">
        <x:v>On temporal granularity in self-supervised video representation learning</x:v>
      </x:c>
      <x:c r="B169" s="34" t="str">
        <x:v>Rui Qian, Yeqing Li, Liangzhe Yuan, Boqing Gong, Ting Liu, Matthew Brown, Serge Belongie, Ming-Hsuan Yang, Hartwig Adam, and Yin Cui</x:v>
      </x:c>
      <x:c r="C169" s="34" t="str">
        <x:v>Temporal Granularity Study</x:v>
      </x:c>
      <x:c r="D169" s="34" t="str">
        <x:v>Other / Hybrid</x:v>
      </x:c>
      <x:c r="E169" s="34" t="str">
        <x:v>Kinetics-400</x:v>
      </x:c>
      <x:c r="F169" s="34" t="str">
        <x:v>Kinetics-400; UCF101; HMDB51</x:v>
      </x:c>
      <x:c r="G169" s="34" t="str">
        <x:v>Kinetics-400; UCF101; HMDB51</x:v>
      </x:c>
      <x:c r="H169" s="36" t="str">
        <x:v>2022</x:v>
      </x:c>
      <x:c r="I169" s="34" t="str">
        <x:v>BMVC 2022</x:v>
      </x:c>
      <x:c r="J169" s="38" t="str">
        <x:v>No</x:v>
      </x:c>
      <x:c r="K169" s="38" t="str">
        <x:v>peer_reviewed</x:v>
      </x:c>
      <x:c r="L169" s="34" t="str"/>
      <x:c r="M169" s="34" t="str"/>
      <x:c r="N169" s="34" t="str">
        <x:v>https://bmvc2022.mpi-inf.mpg.de/541/</x:v>
      </x:c>
      <x:c r="O169" s="34" t="str">
        <x:v>https://github.com/tensorflow/models/tree/master/official/</x:v>
      </x:c>
      <x:c r="P169" s="34" t="str"/>
      <x:c r="Q169" s="38" t="str">
        <x:v>2026-08-11</x:v>
      </x:c>
    </x:row>
    <x:row r="170" ht="44" customHeight="1">
      <x:c r="A170" s="34" t="str">
        <x:v>Pixel-level Correspondence for Self-Supervised Learning from Video</x:v>
      </x:c>
      <x:c r="B170" s="34" t="str">
        <x:v>Yash Sharma, Yanchao Zhu, Chris Russell, Thomas Brox</x:v>
      </x:c>
      <x:c r="C170" s="34" t="str">
        <x:v>PiCo</x:v>
      </x:c>
      <x:c r="D170" s="34" t="str">
        <x:v>Contrastive</x:v>
      </x:c>
      <x:c r="E170" s="34" t="str">
        <x:v>YouTube-8M Segments; Kinetics-400</x:v>
      </x:c>
      <x:c r="F170" s="34" t="str">
        <x:v>COCO; PASCAL VOC 2012; Cityscapes; DAVIS 2017; JHMDB</x:v>
      </x:c>
      <x:c r="G170" s="34" t="str">
        <x:v>YouTube-8M Segments; Kinetics-400; COCO; PASCAL VOC 2012; Cityscapes; DAVIS 2017; JHMDB</x:v>
      </x:c>
      <x:c r="H170" s="36" t="str">
        <x:v>2022</x:v>
      </x:c>
      <x:c r="I170" s="34" t="str">
        <x:v>arXiv / Preprint</x:v>
      </x:c>
      <x:c r="J170" s="38" t="str">
        <x:v>No</x:v>
      </x:c>
      <x:c r="K170" s="38" t="str">
        <x:v>preprint</x:v>
      </x:c>
      <x:c r="L170" s="34" t="str"/>
      <x:c r="M170" s="34" t="str">
        <x:v>2207.03866</x:v>
      </x:c>
      <x:c r="N170" s="34" t="str">
        <x:v>https://arxiv.org/abs/2207.03866</x:v>
      </x:c>
      <x:c r="O170" s="34" t="str"/>
      <x:c r="P170" s="34" t="str"/>
      <x:c r="Q170" s="38" t="str">
        <x:v>2026-08-11</x:v>
      </x:c>
    </x:row>
    <x:row r="171" ht="44" customHeight="1">
      <x:c r="A171" s="34" t="str">
        <x:v>Probabilistic representations for video contrastive learning</x:v>
      </x:c>
      <x:c r="B171" s="34" t="str">
        <x:v>Jungin Park, Jiyoung Lee, Ig-Jae Kim, Kwanghoon Sohn</x:v>
      </x:c>
      <x:c r="C171" s="34" t="str">
        <x:v>Probabilistic Video Contrastive Learning</x:v>
      </x:c>
      <x:c r="D171" s="34" t="str">
        <x:v>Contrastive</x:v>
      </x:c>
      <x:c r="E171" s="34" t="str">
        <x:v>Kinetics-400</x:v>
      </x:c>
      <x:c r="F171" s="34" t="str">
        <x:v>UCF101; HMDB51; ActivityNet</x:v>
      </x:c>
      <x:c r="G171" s="34" t="str">
        <x:v>Kinetics-400; UCF101; HMDB51; ActivityNet</x:v>
      </x:c>
      <x:c r="H171" s="36" t="str">
        <x:v>2022</x:v>
      </x:c>
      <x:c r="I171" s="34" t="str">
        <x:v>CVPR 2022</x:v>
      </x:c>
      <x:c r="J171" s="38" t="str">
        <x:v>No</x:v>
      </x:c>
      <x:c r="K171" s="38" t="str">
        <x:v>peer_reviewed</x:v>
      </x:c>
      <x:c r="L171" s="34" t="str"/>
      <x:c r="M171" s="34" t="str">
        <x:v>2204.03946</x:v>
      </x:c>
      <x:c r="N171" s="34" t="str">
        <x:v>https://openaccess.thecvf.com/content/CVPR2022/html/Park_Probabilistic_Representations_for_Video_Contrastive_Learning_CVPR_2022_paper.html</x:v>
      </x:c>
      <x:c r="O171" s="34" t="str"/>
      <x:c r="P171" s="34" t="str"/>
      <x:c r="Q171" s="38" t="str">
        <x:v>2026-08-11</x:v>
      </x:c>
    </x:row>
    <x:row r="172" ht="44" customHeight="1">
      <x:c r="A172" s="34" t="str">
        <x:v>SCVRL: Shuffled Contrastive Video Representation Learning</x:v>
      </x:c>
      <x:c r="B172" s="34" t="str">
        <x:v>Michael Dorkenwald, Fanyi Xiao, Biagio Brattoli, Joseph Tighe, Davide Modolo</x:v>
      </x:c>
      <x:c r="C172" s="34" t="str">
        <x:v>SCVRL</x:v>
      </x:c>
      <x:c r="D172" s="34" t="str">
        <x:v>Contrastive</x:v>
      </x:c>
      <x:c r="E172" s="34" t="str">
        <x:v>Kinetics-400</x:v>
      </x:c>
      <x:c r="F172" s="34" t="str">
        <x:v>Kinetics-400; Something-Something V2; Diving48; UCF101</x:v>
      </x:c>
      <x:c r="G172" s="34" t="str">
        <x:v>Kinetics-400; Something-Something V2; Diving48; UCF101</x:v>
      </x:c>
      <x:c r="H172" s="36" t="str">
        <x:v>2022</x:v>
      </x:c>
      <x:c r="I172" s="34" t="str">
        <x:v>CVPR Workshops 2022</x:v>
      </x:c>
      <x:c r="J172" s="38" t="str">
        <x:v>No</x:v>
      </x:c>
      <x:c r="K172" s="38" t="str">
        <x:v>peer_reviewed</x:v>
      </x:c>
      <x:c r="L172" s="34" t="str"/>
      <x:c r="M172" s="34" t="str"/>
      <x:c r="N172" s="34" t="str">
        <x:v>https://openaccess.thecvf.com/content/CVPR2022W/L3D-IVU/html/Dorkenwald_SCVRL_Shuffled_Contrastive_Video_Representation_Learning_CVPRW_2022_paper.html</x:v>
      </x:c>
      <x:c r="O172" s="34" t="str"/>
      <x:c r="P172" s="34" t="str"/>
      <x:c r="Q172" s="38" t="str">
        <x:v>2026-08-11</x:v>
      </x:c>
    </x:row>
    <x:row r="173" ht="44" customHeight="1">
      <x:c r="A173" s="34" t="str">
        <x:v>Self-Supervised Learning of Audio Representations From Audio-Visual Data Using Spatial Alignment</x:v>
      </x:c>
      <x:c r="B173" s="34" t="str">
        <x:v>Shanshan Wang, Archontis Politis, Annamaria Mesaros</x:v>
      </x:c>
      <x:c r="C173" s="34" t="str">
        <x:v>Audio-Visual Spatial Alignment (AVSA)</x:v>
      </x:c>
      <x:c r="D173" s="34" t="str">
        <x:v>Multimodal / Audio-Visual</x:v>
      </x:c>
      <x:c r="E173" s="34" t="str">
        <x:v>YouTube-360</x:v>
      </x:c>
      <x:c r="F173" s="34" t="str">
        <x:v>UCF101; HMDB51; EigenScape; TAU Audio-Visual Urban Scenes 2021</x:v>
      </x:c>
      <x:c r="G173" s="34" t="str">
        <x:v>YouTube-360; UCF101; HMDB51; EigenScape; TAU Audio-Visual Urban Scenes 2021</x:v>
      </x:c>
      <x:c r="H173" s="36" t="str">
        <x:v>2022</x:v>
      </x:c>
      <x:c r="I173" s="34" t="str">
        <x:v>IEEE Journal of Selected Topics in Signal Processing 2022</x:v>
      </x:c>
      <x:c r="J173" s="38" t="str">
        <x:v>No</x:v>
      </x:c>
      <x:c r="K173" s="38" t="str">
        <x:v>peer_reviewed</x:v>
      </x:c>
      <x:c r="L173" s="34" t="str"/>
      <x:c r="M173" s="34" t="str">
        <x:v>2206.00970</x:v>
      </x:c>
      <x:c r="N173" s="34" t="str">
        <x:v>https://ieeexplore.ieee.org/document/9790080</x:v>
      </x:c>
      <x:c r="O173" s="34" t="str"/>
      <x:c r="P173" s="34" t="str"/>
      <x:c r="Q173" s="38" t="str">
        <x:v>2026-08-11</x:v>
      </x:c>
    </x:row>
    <x:row r="174" ht="44" customHeight="1">
      <x:c r="A174" s="34" t="str">
        <x:v>Self-supervised spatiotemporal representation learning by exploiting video continuity</x:v>
      </x:c>
      <x:c r="B174" s="34" t="str">
        <x:v>Hanwen Liang, Niamul Quader, Zhixiang Chi, Lizhe Chen, Peng Dai, Juwei Lu, Yang Wang</x:v>
      </x:c>
      <x:c r="C174" s="34" t="str">
        <x:v>CPNet</x:v>
      </x:c>
      <x:c r="D174" s="34" t="str">
        <x:v>Pretext / Predictive</x:v>
      </x:c>
      <x:c r="E174" s="34" t="str">
        <x:v>Kinetics-400</x:v>
      </x:c>
      <x:c r="F174" s="34" t="str">
        <x:v>UCF101; HMDB51; Diving48; ActivityNet</x:v>
      </x:c>
      <x:c r="G174" s="34" t="str">
        <x:v>Kinetics-400; UCF101; HMDB51; Diving48; ActivityNet</x:v>
      </x:c>
      <x:c r="H174" s="36" t="str">
        <x:v>2022</x:v>
      </x:c>
      <x:c r="I174" s="34" t="str">
        <x:v>AAAI 2022</x:v>
      </x:c>
      <x:c r="J174" s="38" t="str">
        <x:v>No</x:v>
      </x:c>
      <x:c r="K174" s="38" t="str">
        <x:v>peer_reviewed</x:v>
      </x:c>
      <x:c r="L174" s="34" t="str">
        <x:v>10.1609/aaai.v36i2.20047</x:v>
      </x:c>
      <x:c r="M174" s="34" t="str">
        <x:v>2112.05883</x:v>
      </x:c>
      <x:c r="N174" s="34" t="str">
        <x:v>https://ojs.aaai.org/index.php/AAAI/article/view/20047</x:v>
      </x:c>
      <x:c r="O174" s="34" t="str"/>
      <x:c r="P174" s="34" t="str"/>
      <x:c r="Q174" s="38" t="str">
        <x:v>2026-08-11</x:v>
      </x:c>
    </x:row>
    <x:row r="175" ht="44" customHeight="1">
      <x:c r="A175" s="34" t="str">
        <x:v>Self-supervised video representation learning by uncovering spatio-temporal statistics</x:v>
      </x:c>
      <x:c r="B175" s="34" t="str">
        <x:v>Jiangliu Wang, Jianbo Jiao, Linchao Bao, Shengfeng He, Wei Liu, Yun-hui Liu</x:v>
      </x:c>
      <x:c r="C175" s="34" t="str">
        <x:v>Spatiotemporal Statistics Prediction</x:v>
      </x:c>
      <x:c r="D175" s="34" t="str">
        <x:v>Pretext / Predictive</x:v>
      </x:c>
      <x:c r="E175" s="34" t="str">
        <x:v>UCF101; Kinetics-400</x:v>
      </x:c>
      <x:c r="F175" s="34" t="str">
        <x:v>UCF101; HMDB51; YUP++; ASLAN</x:v>
      </x:c>
      <x:c r="G175" s="34" t="str">
        <x:v>UCF101; Kinetics-400; HMDB51; YUP++; ASLAN</x:v>
      </x:c>
      <x:c r="H175" s="36" t="str">
        <x:v>2022</x:v>
      </x:c>
      <x:c r="I175" s="34" t="str">
        <x:v>IEEE Transactions on Pattern Analysis and Machine Intelligence 2022</x:v>
      </x:c>
      <x:c r="J175" s="38" t="str">
        <x:v>No</x:v>
      </x:c>
      <x:c r="K175" s="38" t="str">
        <x:v>peer_reviewed</x:v>
      </x:c>
      <x:c r="L175" s="34" t="str">
        <x:v>10.1109/TPAMI.2021.3054224</x:v>
      </x:c>
      <x:c r="M175" s="34" t="str">
        <x:v>2008.13426</x:v>
      </x:c>
      <x:c r="N175" s="34" t="str">
        <x:v>https://ieeexplore.ieee.org/document/9352025</x:v>
      </x:c>
      <x:c r="O175" s="34" t="str">
        <x:v>https://github.com/laura-wang/video_repres_sts</x:v>
      </x:c>
      <x:c r="P175" s="34" t="str"/>
      <x:c r="Q175" s="38" t="str">
        <x:v>2026-08-11</x:v>
      </x:c>
    </x:row>
    <x:row r="176" ht="44" customHeight="1">
      <x:c r="A176" s="34" t="str">
        <x:v>Self-supervised video representation learning using improved instance-wise contrastive learning and deep clustering</x:v>
      </x:c>
      <x:c r="B176" s="34" t="str">
        <x:v>Yisheng Zhu, Hui Shuai, Guangcan Liu, Senior Member, Qingshan Liu</x:v>
      </x:c>
      <x:c r="C176" s="34" t="str">
        <x:v>Improved instance contrast plus deep clustering</x:v>
      </x:c>
      <x:c r="D176" s="34" t="str">
        <x:v>Contrastive</x:v>
      </x:c>
      <x:c r="E176" s="34" t="str">
        <x:v>UCF101; Kinetics-400</x:v>
      </x:c>
      <x:c r="F176" s="34" t="str">
        <x:v>UCF101; HMDB51</x:v>
      </x:c>
      <x:c r="G176" s="34" t="str">
        <x:v>UCF101; Kinetics-400; HMDB51</x:v>
      </x:c>
      <x:c r="H176" s="36" t="str">
        <x:v>2022</x:v>
      </x:c>
      <x:c r="I176" s="34" t="str">
        <x:v>IEEE Transactions on Circuits and Systems for Video Technology 2022</x:v>
      </x:c>
      <x:c r="J176" s="38" t="str">
        <x:v>No</x:v>
      </x:c>
      <x:c r="K176" s="38" t="str">
        <x:v>peer_reviewed</x:v>
      </x:c>
      <x:c r="L176" s="34" t="str"/>
      <x:c r="M176" s="34" t="str"/>
      <x:c r="N176" s="34" t="str">
        <x:v>https://ieeexplore.ieee.org/document/9761901</x:v>
      </x:c>
      <x:c r="O176" s="34" t="str"/>
      <x:c r="P176" s="34" t="str"/>
      <x:c r="Q176" s="38" t="str">
        <x:v>2026-08-11</x:v>
      </x:c>
    </x:row>
    <x:row r="177" ht="44" customHeight="1">
      <x:c r="A177" s="34" t="str">
        <x:v>Self-Supervised Video Representation Learning with Cascade Positive Retrieval</x:v>
      </x:c>
      <x:c r="B177" s="34" t="str">
        <x:v>Cheng-En Wu, Farley Lai, Yu Hen Hu, Asim Kadav</x:v>
      </x:c>
      <x:c r="C177" s="34" t="str">
        <x:v>Cascade Positive Retrieval (CPR)</x:v>
      </x:c>
      <x:c r="D177" s="34" t="str">
        <x:v>Contrastive</x:v>
      </x:c>
      <x:c r="E177" s="34" t="str">
        <x:v>UCF101</x:v>
      </x:c>
      <x:c r="F177" s="34" t="str">
        <x:v>UCF101; HMDB51</x:v>
      </x:c>
      <x:c r="G177" s="34" t="str">
        <x:v>UCF101; HMDB51</x:v>
      </x:c>
      <x:c r="H177" s="36" t="str">
        <x:v>2022</x:v>
      </x:c>
      <x:c r="I177" s="34" t="str">
        <x:v>CVPR Workshops 2022</x:v>
      </x:c>
      <x:c r="J177" s="38" t="str">
        <x:v>No</x:v>
      </x:c>
      <x:c r="K177" s="38" t="str">
        <x:v>peer_reviewed</x:v>
      </x:c>
      <x:c r="L177" s="34" t="str"/>
      <x:c r="M177" s="34" t="str"/>
      <x:c r="N177" s="34" t="str">
        <x:v>https://openaccess.thecvf.com/content/CVPR2022W/L3D-IVU/html/Wu_Self-Supervised_Video_Representation_Learning_With_Cascade_Positive_Retrieval_CVPRW_2022_paper.html</x:v>
      </x:c>
      <x:c r="O177" s="34" t="str">
        <x:v>https://github.com/necla-ml/CPR</x:v>
      </x:c>
      <x:c r="P177" s="34" t="str"/>
      <x:c r="Q177" s="38" t="str">
        <x:v>2026-08-11</x:v>
      </x:c>
    </x:row>
    <x:row r="178" ht="44" customHeight="1">
      <x:c r="A178" s="34" t="str">
        <x:v>Self-supervised video representation learning with cross-stream prototypical contrasting</x:v>
      </x:c>
      <x:c r="B178" s="34" t="str">
        <x:v>Martine Toering, Ioannis Gatopoulos, Maarten Stol, Vincent Tao Hu</x:v>
      </x:c>
      <x:c r="C178" s="34" t="str">
        <x:v>ViCC</x:v>
      </x:c>
      <x:c r="D178" s="34" t="str">
        <x:v>Contrastive</x:v>
      </x:c>
      <x:c r="E178" s="34" t="str">
        <x:v>UCF101</x:v>
      </x:c>
      <x:c r="F178" s="34" t="str">
        <x:v>UCF101; HMDB51</x:v>
      </x:c>
      <x:c r="G178" s="34" t="str">
        <x:v>UCF101; HMDB51</x:v>
      </x:c>
      <x:c r="H178" s="36" t="str">
        <x:v>2022</x:v>
      </x:c>
      <x:c r="I178" s="34" t="str">
        <x:v>WACV 2022</x:v>
      </x:c>
      <x:c r="J178" s="38" t="str">
        <x:v>No</x:v>
      </x:c>
      <x:c r="K178" s="38" t="str">
        <x:v>peer_reviewed</x:v>
      </x:c>
      <x:c r="L178" s="34" t="str"/>
      <x:c r="M178" s="34" t="str">
        <x:v>2106.10137</x:v>
      </x:c>
      <x:c r="N178" s="34" t="str">
        <x:v>https://openaccess.thecvf.com/content/WACV2022/html/Toering_Self-Supervised_Video_Representation_Learning_With_Cross-Stream_Prototypical_Contrasting_WACV_2022_paper.html</x:v>
      </x:c>
      <x:c r="O178" s="34" t="str">
        <x:v>https://github.com/martinetoering/ViCC</x:v>
      </x:c>
      <x:c r="P178" s="34" t="str"/>
      <x:c r="Q178" s="38" t="str">
        <x:v>2026-08-11</x:v>
      </x:c>
    </x:row>
    <x:row r="179" ht="44" customHeight="1">
      <x:c r="A179" s="34" t="str">
        <x:v>Self-Supervised Video Representation Learning with Motion-Contrastive Perception</x:v>
      </x:c>
      <x:c r="B179" s="34" t="str">
        <x:v>Jinyu Liu, Ying Cheng, Yuejie Zhang, Rui-Wei Zhao, Rui Feng</x:v>
      </x:c>
      <x:c r="C179" s="34" t="str">
        <x:v>MCP</x:v>
      </x:c>
      <x:c r="D179" s="34" t="str">
        <x:v>Contrastive</x:v>
      </x:c>
      <x:c r="E179" s="34" t="str">
        <x:v>Kinetics-100; Kinetics-400</x:v>
      </x:c>
      <x:c r="F179" s="34" t="str">
        <x:v>Kinetics-100; Kinetics-400; UCF101; HMDB51</x:v>
      </x:c>
      <x:c r="G179" s="34" t="str">
        <x:v>Kinetics-100; Kinetics-400; UCF101; HMDB51</x:v>
      </x:c>
      <x:c r="H179" s="36" t="str">
        <x:v>2022</x:v>
      </x:c>
      <x:c r="I179" s="34" t="str">
        <x:v>ICME 2022</x:v>
      </x:c>
      <x:c r="J179" s="38" t="str">
        <x:v>No</x:v>
      </x:c>
      <x:c r="K179" s="38" t="str">
        <x:v>peer_reviewed</x:v>
      </x:c>
      <x:c r="L179" s="34" t="str">
        <x:v>10.1109/ICME52920.2022.9859802</x:v>
      </x:c>
      <x:c r="M179" s="34" t="str">
        <x:v>2204.04607</x:v>
      </x:c>
      <x:c r="N179" s="34" t="str">
        <x:v>https://ieeexplore.ieee.org/document/9859802/</x:v>
      </x:c>
      <x:c r="O179" s="34" t="str"/>
      <x:c r="P179" s="34" t="str"/>
      <x:c r="Q179" s="38" t="str">
        <x:v>2026-08-11</x:v>
      </x:c>
    </x:row>
    <x:row r="180" ht="44" customHeight="1">
      <x:c r="A180" s="34" t="str">
        <x:v>Self-supervised Video Transformer</x:v>
      </x:c>
      <x:c r="B180" s="34" t="str">
        <x:v>Kanchana Ranasinghe, Muzammal Naseer, Salman Khan, Fahad Shahbaz Khan, Michael S. Ryoo</x:v>
      </x:c>
      <x:c r="C180" s="34" t="str">
        <x:v>SVT</x:v>
      </x:c>
      <x:c r="D180" s="34" t="str">
        <x:v>Distillation / Teacher-Student</x:v>
      </x:c>
      <x:c r="E180" s="34" t="str">
        <x:v>Kinetics-400</x:v>
      </x:c>
      <x:c r="F180" s="34" t="str">
        <x:v>Kinetics-400; UCF101; HMDB51; Something-Something V2</x:v>
      </x:c>
      <x:c r="G180" s="34" t="str">
        <x:v>Kinetics-400; UCF101; HMDB51; Something-Something V2</x:v>
      </x:c>
      <x:c r="H180" s="36" t="str">
        <x:v>2022</x:v>
      </x:c>
      <x:c r="I180" s="34" t="str">
        <x:v>CVPR 2022</x:v>
      </x:c>
      <x:c r="J180" s="38" t="str">
        <x:v>No</x:v>
      </x:c>
      <x:c r="K180" s="38" t="str">
        <x:v>peer_reviewed</x:v>
      </x:c>
      <x:c r="L180" s="34" t="str"/>
      <x:c r="M180" s="34" t="str"/>
      <x:c r="N180" s="34" t="str">
        <x:v>https://openaccess.thecvf.com/content/CVPR2022/html/Ranasinghe_Self-Supervised_Video_Transformer_CVPR_2022_paper.html</x:v>
      </x:c>
      <x:c r="O180" s="34" t="str">
        <x:v>https://git.io/J1juJ</x:v>
      </x:c>
      <x:c r="P180" s="34" t="str"/>
      <x:c r="Q180" s="38" t="str">
        <x:v>2026-08-11</x:v>
      </x:c>
    </x:row>
    <x:row r="181" ht="44" customHeight="1">
      <x:c r="A181" s="34" t="str">
        <x:v>SimVTP: Simple Video Text Pre-Training with Masked Autoencoders</x:v>
      </x:c>
      <x:c r="B181" s="34" t="str">
        <x:v>Ma, Y., Yang, T., Shan, Y., &amp; Li, X.</x:v>
      </x:c>
      <x:c r="C181" s="34" t="str">
        <x:v>SimVTP</x:v>
      </x:c>
      <x:c r="D181" s="34" t="str">
        <x:v>Multimodal / Audio-Visual</x:v>
      </x:c>
      <x:c r="E181" s="34" t="str">
        <x:v>WebVid-2M</x:v>
      </x:c>
      <x:c r="F181" s="34" t="str">
        <x:v>MSR-VTT; MSVD; DiDeMo; LSMDC; ActivityNet Captions; MSRVTT-QA</x:v>
      </x:c>
      <x:c r="G181" s="34" t="str">
        <x:v>WebVid-2M; MSR-VTT; MSVD; DiDeMo; LSMDC; ActivityNet Captions; MSRVTT-QA</x:v>
      </x:c>
      <x:c r="H181" s="36" t="str">
        <x:v>2022</x:v>
      </x:c>
      <x:c r="I181" s="34" t="str">
        <x:v>arXiv / Preprint</x:v>
      </x:c>
      <x:c r="J181" s="38" t="str">
        <x:v>No</x:v>
      </x:c>
      <x:c r="K181" s="38" t="str">
        <x:v>preprint</x:v>
      </x:c>
      <x:c r="L181" s="34" t="str"/>
      <x:c r="M181" s="34" t="str">
        <x:v>2212.03490</x:v>
      </x:c>
      <x:c r="N181" s="34" t="str">
        <x:v>https://arxiv.org/abs/2212.03490</x:v>
      </x:c>
      <x:c r="O181" s="34" t="str"/>
      <x:c r="P181" s="34" t="str"/>
      <x:c r="Q181" s="38" t="str">
        <x:v>2026-08-11</x:v>
      </x:c>
    </x:row>
    <x:row r="182" ht="44" customHeight="1">
      <x:c r="A182" s="34" t="str">
        <x:v>SLIC: Self-supervised learning with iterative clustering for human action videos</x:v>
      </x:c>
      <x:c r="B182" s="34" t="str">
        <x:v>Salar Hosseini Khorasgani, Yuxuan Chen, Florian Shkurti</x:v>
      </x:c>
      <x:c r="C182" s="34" t="str">
        <x:v>SLIC</x:v>
      </x:c>
      <x:c r="D182" s="34" t="str">
        <x:v>Contrastive</x:v>
      </x:c>
      <x:c r="E182" s="34" t="str">
        <x:v>UCF101; Kinetics-400</x:v>
      </x:c>
      <x:c r="F182" s="34" t="str">
        <x:v>UCF101; HMDB51</x:v>
      </x:c>
      <x:c r="G182" s="34" t="str">
        <x:v>UCF101; Kinetics-400; HMDB51</x:v>
      </x:c>
      <x:c r="H182" s="36" t="str">
        <x:v>2022</x:v>
      </x:c>
      <x:c r="I182" s="34" t="str">
        <x:v>CVPR 2022</x:v>
      </x:c>
      <x:c r="J182" s="38" t="str">
        <x:v>No</x:v>
      </x:c>
      <x:c r="K182" s="38" t="str">
        <x:v>peer_reviewed</x:v>
      </x:c>
      <x:c r="L182" s="34" t="str"/>
      <x:c r="M182" s="34" t="str">
        <x:v>2206.12534</x:v>
      </x:c>
      <x:c r="N182" s="34" t="str">
        <x:v>https://openaccess.thecvf.com/content/CVPR2022/html/Khorasgani_SLIC_Self-Supervised_Learning_With_Iterative_Clustering_for_Human_Action_Videos_CVPR_2022_paper.html</x:v>
      </x:c>
      <x:c r="O182" s="34" t="str"/>
      <x:c r="P182" s="34" t="str"/>
      <x:c r="Q182" s="38" t="str">
        <x:v>2026-08-11</x:v>
      </x:c>
    </x:row>
    <x:row r="183" ht="44" customHeight="1">
      <x:c r="A183" s="34" t="str">
        <x:v>SOS! Self-supervised Learning over Sets of Handled Objects in Egocentric Action Recognition</x:v>
      </x:c>
      <x:c r="B183" s="34" t="str">
        <x:v>Victor Escorcia, Ricardo Guerrero, Xiatian Zhu, Brais Martinez</x:v>
      </x:c>
      <x:c r="C183" s="34" t="str">
        <x:v>SOS</x:v>
      </x:c>
      <x:c r="D183" s="34" t="str">
        <x:v>Other / Hybrid</x:v>
      </x:c>
      <x:c r="E183" s="34" t="str">
        <x:v>EPIC-KITCHENS-100</x:v>
      </x:c>
      <x:c r="F183" s="34" t="str">
        <x:v>EPIC-KITCHENS-100</x:v>
      </x:c>
      <x:c r="G183" s="34" t="str">
        <x:v>EPIC-KITCHENS-100</x:v>
      </x:c>
      <x:c r="H183" s="36" t="str">
        <x:v>2022</x:v>
      </x:c>
      <x:c r="I183" s="34" t="str">
        <x:v>ECCV 2022</x:v>
      </x:c>
      <x:c r="J183" s="38" t="str">
        <x:v>No</x:v>
      </x:c>
      <x:c r="K183" s="38" t="str">
        <x:v>peer_reviewed</x:v>
      </x:c>
      <x:c r="L183" s="34" t="str">
        <x:v>10.1007/978-3-031-19778-9_35</x:v>
      </x:c>
      <x:c r="M183" s="34" t="str">
        <x:v>2204.04796</x:v>
      </x:c>
      <x:c r="N183" s="34" t="str">
        <x:v>https://link.springer.com/chapter/10.1007/978-3-031-19778-9_35</x:v>
      </x:c>
      <x:c r="O183" s="34" t="str"/>
      <x:c r="P183" s="34" t="str"/>
      <x:c r="Q183" s="38" t="str">
        <x:v>2026-08-11</x:v>
      </x:c>
    </x:row>
    <x:row r="184" ht="44" customHeight="1">
      <x:c r="A184" s="34" t="str">
        <x:v>SPAct: Self-supervised Privacy Preservation for Action Recognition</x:v>
      </x:c>
      <x:c r="B184" s="34" t="str">
        <x:v>Ishan Rajendrakumar Dave, Chen Chen, Mubarak Shah</x:v>
      </x:c>
      <x:c r="C184" s="34" t="str">
        <x:v>SPAct</x:v>
      </x:c>
      <x:c r="D184" s="34" t="str">
        <x:v>Other / Hybrid</x:v>
      </x:c>
      <x:c r="E184" s="34" t="str">
        <x:v>UCF101; HMDB51; PA-HMDB; VISPR; P-HVU</x:v>
      </x:c>
      <x:c r="F184" s="34" t="str">
        <x:v>UCF101; HMDB51; PA-HMDB; VISPR; P-HVU</x:v>
      </x:c>
      <x:c r="G184" s="34" t="str">
        <x:v>UCF101; HMDB51; PA-HMDB; VISPR; P-HVU</x:v>
      </x:c>
      <x:c r="H184" s="36" t="str">
        <x:v>2022</x:v>
      </x:c>
      <x:c r="I184" s="34" t="str">
        <x:v>CVPR 2022</x:v>
      </x:c>
      <x:c r="J184" s="38" t="str">
        <x:v>No</x:v>
      </x:c>
      <x:c r="K184" s="38" t="str">
        <x:v>peer_reviewed</x:v>
      </x:c>
      <x:c r="L184" s="34" t="str"/>
      <x:c r="M184" s="34" t="str">
        <x:v>2203.15205</x:v>
      </x:c>
      <x:c r="N184" s="34" t="str">
        <x:v>https://openaccess.thecvf.com/content/CVPR2022/html/Dave_SPAct_Self-Supervised_Privacy_Preservation_for_Action_Recognition_CVPR_2022_paper.html</x:v>
      </x:c>
      <x:c r="O184" s="34" t="str">
        <x:v>https://github.com/DAVEISHAN/SPAct</x:v>
      </x:c>
      <x:c r="P184" s="34" t="str"/>
      <x:c r="Q184" s="38" t="str">
        <x:v>2026-08-11</x:v>
      </x:c>
    </x:row>
    <x:row r="185" ht="44" customHeight="1">
      <x:c r="A185" s="34" t="str">
        <x:v>Spatio-temporal self-supervision enhanced transformer networks for action recognition</x:v>
      </x:c>
      <x:c r="B185" s="34" t="str">
        <x:v>Yongkang Zhang, Han Zhang, Guoming Wu, Jun Li</x:v>
      </x:c>
      <x:c r="C185" s="34" t="str">
        <x:v>STTNet</x:v>
      </x:c>
      <x:c r="D185" s="34" t="str">
        <x:v>Pretext / Predictive</x:v>
      </x:c>
      <x:c r="E185" s="34" t="str">
        <x:v>Kinetics-400</x:v>
      </x:c>
      <x:c r="F185" s="34" t="str">
        <x:v>Kinetics-400; Something-Something V2; UCF101; HMDB51</x:v>
      </x:c>
      <x:c r="G185" s="34" t="str">
        <x:v>Kinetics-400; Something-Something V2; UCF101; HMDB51</x:v>
      </x:c>
      <x:c r="H185" s="36" t="str">
        <x:v>2022</x:v>
      </x:c>
      <x:c r="I185" s="34" t="str">
        <x:v>ICME 2022</x:v>
      </x:c>
      <x:c r="J185" s="38" t="str">
        <x:v>No</x:v>
      </x:c>
      <x:c r="K185" s="38" t="str">
        <x:v>peer_reviewed</x:v>
      </x:c>
      <x:c r="L185" s="34" t="str"/>
      <x:c r="M185" s="34" t="str"/>
      <x:c r="N185" s="34" t="str">
        <x:v>https://ieeexplore.ieee.org/document/9859741</x:v>
      </x:c>
      <x:c r="O185" s="34" t="str"/>
      <x:c r="P185" s="34" t="str"/>
      <x:c r="Q185" s="38" t="str">
        <x:v>2026-08-11</x:v>
      </x:c>
    </x:row>
    <x:row r="186" ht="44" customHeight="1">
      <x:c r="A186" s="34" t="str">
        <x:v>Static and Dynamic Concepts for Self-supervised Video Representation Learning</x:v>
      </x:c>
      <x:c r="B186" s="34" t="str">
        <x:v>Rui Qian, Shuangrui Ding, Xian Liu, Dahua Lin</x:v>
      </x:c>
      <x:c r="C186" s="34" t="str">
        <x:v>Static-Dynamic Concept Learning</x:v>
      </x:c>
      <x:c r="D186" s="34" t="str">
        <x:v>Contrastive</x:v>
      </x:c>
      <x:c r="E186" s="34" t="str">
        <x:v>Kinetics-400</x:v>
      </x:c>
      <x:c r="F186" s="34" t="str">
        <x:v>UCF101; HMDB51; Diving48; Kinetics-400</x:v>
      </x:c>
      <x:c r="G186" s="34" t="str">
        <x:v>Kinetics-400; UCF101; HMDB51; Diving48</x:v>
      </x:c>
      <x:c r="H186" s="36" t="str">
        <x:v>2022</x:v>
      </x:c>
      <x:c r="I186" s="34" t="str">
        <x:v>ECCV 2022</x:v>
      </x:c>
      <x:c r="J186" s="38" t="str">
        <x:v>No</x:v>
      </x:c>
      <x:c r="K186" s="38" t="str">
        <x:v>peer_reviewed</x:v>
      </x:c>
      <x:c r="L186" s="34" t="str">
        <x:v>10.1007/978-3-031-19809-0_9</x:v>
      </x:c>
      <x:c r="M186" s="34" t="str">
        <x:v>2207.12795</x:v>
      </x:c>
      <x:c r="N186" s="34" t="str">
        <x:v>https://link.springer.com/chapter/10.1007/978-3-031-19809-0_9</x:v>
      </x:c>
      <x:c r="O186" s="34" t="str"/>
      <x:c r="P186" s="34" t="str"/>
      <x:c r="Q186" s="38" t="str">
        <x:v>2026-08-11</x:v>
      </x:c>
    </x:row>
    <x:row r="187" ht="44" customHeight="1">
      <x:c r="A187" s="34" t="str">
        <x:v>Suppressing Static Visual Cues via Normalizing Flows for Self-Supervised Video Representation Learning</x:v>
      </x:c>
      <x:c r="B187" s="34" t="str">
        <x:v>Manlin Zhang, Jinpeng Wang, Andy J. Ma</x:v>
      </x:c>
      <x:c r="C187" s="34" t="str">
        <x:v>Static-cue suppression with normalizing flows</x:v>
      </x:c>
      <x:c r="D187" s="34" t="str">
        <x:v>Contrastive</x:v>
      </x:c>
      <x:c r="E187" s="34" t="str">
        <x:v>Kinetics-400; UCF101; HMDB51</x:v>
      </x:c>
      <x:c r="F187" s="34" t="str">
        <x:v>Kinetics-400; UCF101; HMDB51</x:v>
      </x:c>
      <x:c r="G187" s="34" t="str">
        <x:v>Kinetics-400; UCF101; HMDB51</x:v>
      </x:c>
      <x:c r="H187" s="36" t="str">
        <x:v>2022</x:v>
      </x:c>
      <x:c r="I187" s="34" t="str">
        <x:v>AAAI 2022</x:v>
      </x:c>
      <x:c r="J187" s="38" t="str">
        <x:v>No</x:v>
      </x:c>
      <x:c r="K187" s="38" t="str">
        <x:v>peer_reviewed</x:v>
      </x:c>
      <x:c r="L187" s="34" t="str"/>
      <x:c r="M187" s="34" t="str">
        <x:v>2112.03803</x:v>
      </x:c>
      <x:c r="N187" s="34" t="str">
        <x:v>https://ojs.aaai.org/index.php/AAAI/article/view/20254</x:v>
      </x:c>
      <x:c r="O187" s="34" t="str">
        <x:v>https://github.com/mettyz/SSVC</x:v>
      </x:c>
      <x:c r="P187" s="34" t="str"/>
      <x:c r="Q187" s="38" t="str">
        <x:v>2026-08-11</x:v>
      </x:c>
    </x:row>
    <x:row r="188" ht="44" customHeight="1">
      <x:c r="A188" s="34" t="str">
        <x:v>TCGL: Temporal Contrastive Graph for Self-Supervised Video Representation Learning</x:v>
      </x:c>
      <x:c r="B188" s="34" t="str">
        <x:v>Yang Liu , Keze Wang , Lingbo Liu , Haoyuan Lan, and Liang Lin</x:v>
      </x:c>
      <x:c r="C188" s="34" t="str">
        <x:v>TCGL</x:v>
      </x:c>
      <x:c r="D188" s="34" t="str">
        <x:v>Contrastive</x:v>
      </x:c>
      <x:c r="E188" s="34" t="str">
        <x:v>UCF101; Kinetics-400</x:v>
      </x:c>
      <x:c r="F188" s="34" t="str">
        <x:v>UCF101; HMDB51; Something-Something V2</x:v>
      </x:c>
      <x:c r="G188" s="34" t="str">
        <x:v>UCF101; Kinetics-400; HMDB51; Something-Something V2</x:v>
      </x:c>
      <x:c r="H188" s="36" t="str">
        <x:v>2022</x:v>
      </x:c>
      <x:c r="I188" s="34" t="str">
        <x:v>IEEE Transactions on Image Processing 2022</x:v>
      </x:c>
      <x:c r="J188" s="38" t="str">
        <x:v>No</x:v>
      </x:c>
      <x:c r="K188" s="38" t="str">
        <x:v>peer_reviewed</x:v>
      </x:c>
      <x:c r="L188" s="34" t="str">
        <x:v>10.1109/TIP.2022.3152521</x:v>
      </x:c>
      <x:c r="M188" s="34" t="str"/>
      <x:c r="N188" s="34" t="str">
        <x:v>https://ieeexplore.ieee.org/document/9713748</x:v>
      </x:c>
      <x:c r="O188" s="34" t="str">
        <x:v>https://github.com/YangLiu9208/TCGL</x:v>
      </x:c>
      <x:c r="P188" s="34" t="str"/>
      <x:c r="Q188" s="38" t="str">
        <x:v>2026-08-11</x:v>
      </x:c>
    </x:row>
    <x:row r="189" ht="44" customHeight="1">
      <x:c r="A189" s="34" t="str">
        <x:v>TCLR: Temporal contrastive learning for video representation</x:v>
      </x:c>
      <x:c r="B189" s="34" t="str">
        <x:v>Ishan Dave, Rohit Gupta, Mamshad Nayeem Rizve, Mubarak Shah</x:v>
      </x:c>
      <x:c r="C189" s="34" t="str">
        <x:v>TCLR</x:v>
      </x:c>
      <x:c r="D189" s="34" t="str">
        <x:v>Contrastive</x:v>
      </x:c>
      <x:c r="E189" s="34" t="str">
        <x:v>UCF101; Kinetics-400</x:v>
      </x:c>
      <x:c r="F189" s="34" t="str">
        <x:v>UCF101; HMDB51; Diving48; Kinetics-400</x:v>
      </x:c>
      <x:c r="G189" s="34" t="str">
        <x:v>UCF101; Kinetics-400; HMDB51; Diving48</x:v>
      </x:c>
      <x:c r="H189" s="36" t="str">
        <x:v>2022</x:v>
      </x:c>
      <x:c r="I189" s="34" t="str">
        <x:v>Computer Vision and Image Understanding 2022</x:v>
      </x:c>
      <x:c r="J189" s="38" t="str">
        <x:v>No</x:v>
      </x:c>
      <x:c r="K189" s="38" t="str">
        <x:v>peer_reviewed</x:v>
      </x:c>
      <x:c r="L189" s="34" t="str">
        <x:v>10.1016/j.cviu.2022.103406</x:v>
      </x:c>
      <x:c r="M189" s="34" t="str">
        <x:v>2101.07974</x:v>
      </x:c>
      <x:c r="N189" s="34" t="str">
        <x:v>https://doi.org/10.1016/j.cviu.2022.103406</x:v>
      </x:c>
      <x:c r="O189" s="34" t="str">
        <x:v>https://github.com/DAVEISHAN/TCLR</x:v>
      </x:c>
      <x:c r="P189" s="34" t="str"/>
      <x:c r="Q189" s="38" t="str">
        <x:v>2026-08-11</x:v>
      </x:c>
    </x:row>
    <x:row r="190" ht="44" customHeight="1">
      <x:c r="A190" s="34" t="str">
        <x:v>TCVM: Temporal Contrasting Video Montage Framework for Self-supervised Video Representation Learning</x:v>
      </x:c>
      <x:c r="B190" s="34" t="str">
        <x:v>Fengrui Tian, Jiawei Fan, Xie Yu, Shaoyi Du, Meina Song, Yu Zhao</x:v>
      </x:c>
      <x:c r="C190" s="34" t="str">
        <x:v>TCVM</x:v>
      </x:c>
      <x:c r="D190" s="34" t="str">
        <x:v>Contrastive</x:v>
      </x:c>
      <x:c r="E190" s="34" t="str">
        <x:v>Kinetics-400</x:v>
      </x:c>
      <x:c r="F190" s="34" t="str">
        <x:v>Something-Something V2; UCF101; HMDB51</x:v>
      </x:c>
      <x:c r="G190" s="34" t="str">
        <x:v>Kinetics-400; Something-Something V2; UCF101; HMDB51</x:v>
      </x:c>
      <x:c r="H190" s="36" t="str">
        <x:v>2022</x:v>
      </x:c>
      <x:c r="I190" s="34" t="str">
        <x:v>ACCV 2022</x:v>
      </x:c>
      <x:c r="J190" s="38" t="str">
        <x:v>No</x:v>
      </x:c>
      <x:c r="K190" s="38" t="str">
        <x:v>peer_reviewed</x:v>
      </x:c>
      <x:c r="L190" s="34" t="str"/>
      <x:c r="M190" s="34" t="str"/>
      <x:c r="N190" s="34" t="str">
        <x:v>https://openaccess.thecvf.com/content/ACCV2022/html/Tian_TCVM_Temporal_Contrasting_Video_Montage_Framework_for_Self-supervised_Video_Representation_ACCV_2022_paper.html</x:v>
      </x:c>
      <x:c r="O190" s="34" t="str"/>
      <x:c r="P190" s="34" t="str"/>
      <x:c r="Q190" s="38" t="str">
        <x:v>2026-08-11</x:v>
      </x:c>
    </x:row>
    <x:row r="191" ht="44" customHeight="1">
      <x:c r="A191" s="34" t="str">
        <x:v>Temporal Alignment Networks for Long-Term Video</x:v>
      </x:c>
      <x:c r="B191" s="34" t="str">
        <x:v>Han, T., Xie, W., &amp; Zisserman, A.</x:v>
      </x:c>
      <x:c r="C191" s="34" t="str">
        <x:v>Temporal Alignment Networks (TAN)</x:v>
      </x:c>
      <x:c r="D191" s="34" t="str">
        <x:v>Contrastive</x:v>
      </x:c>
      <x:c r="E191" s="34" t="str">
        <x:v>HowTo100M (HTM-370K)</x:v>
      </x:c>
      <x:c r="F191" s="34" t="str">
        <x:v>HTM-Align; Breakfast; YouCook2</x:v>
      </x:c>
      <x:c r="G191" s="34" t="str">
        <x:v>HowTo100M (HTM-370K); HTM-Align; Breakfast; YouCook2</x:v>
      </x:c>
      <x:c r="H191" s="36" t="str">
        <x:v>2022</x:v>
      </x:c>
      <x:c r="I191" s="34" t="str">
        <x:v>CVPR 2022</x:v>
      </x:c>
      <x:c r="J191" s="38" t="str">
        <x:v>No</x:v>
      </x:c>
      <x:c r="K191" s="38" t="str">
        <x:v>peer_reviewed</x:v>
      </x:c>
      <x:c r="L191" s="34" t="str"/>
      <x:c r="M191" s="34" t="str">
        <x:v>2204.02968</x:v>
      </x:c>
      <x:c r="N191" s="34" t="str">
        <x:v>https://openaccess.thecvf.com/content/CVPR2022/html/Han_Temporal_Alignment_Networks_for_Long-Term_Video_CVPR_2022_paper.html</x:v>
      </x:c>
      <x:c r="O191" s="34" t="str"/>
      <x:c r="P191" s="34" t="str"/>
      <x:c r="Q191" s="38" t="str">
        <x:v>2026-08-11</x:v>
      </x:c>
    </x:row>
    <x:row r="192" ht="44" customHeight="1">
      <x:c r="A192" s="34" t="str">
        <x:v>Temporal-Invariant Video Representation Learning with Dynamic Temporal Resolutions.</x:v>
      </x:c>
      <x:c r="B192" s="34" t="str">
        <x:v>Seong-Yun Jeong, Ho-Joong Kim, Myeong-Seok Oh, Gun-Hee Lee, Seong-Whan Lee</x:v>
      </x:c>
      <x:c r="C192" s="34" t="str">
        <x:v>Temporal-Invariant Dynamic-Resolution Learning</x:v>
      </x:c>
      <x:c r="D192" s="34" t="str">
        <x:v>Contrastive</x:v>
      </x:c>
      <x:c r="E192" s="34" t="str">
        <x:v>Kinetics-400</x:v>
      </x:c>
      <x:c r="F192" s="34" t="str">
        <x:v>Kinetics-400; UCF101; HMDB51</x:v>
      </x:c>
      <x:c r="G192" s="34" t="str">
        <x:v>Kinetics-400; UCF101; HMDB51</x:v>
      </x:c>
      <x:c r="H192" s="36" t="str">
        <x:v>2022</x:v>
      </x:c>
      <x:c r="I192" s="34" t="str">
        <x:v>AVSS 2022</x:v>
      </x:c>
      <x:c r="J192" s="38" t="str">
        <x:v>No</x:v>
      </x:c>
      <x:c r="K192" s="38" t="str">
        <x:v>peer_reviewed</x:v>
      </x:c>
      <x:c r="L192" s="34" t="str"/>
      <x:c r="M192" s="34" t="str"/>
      <x:c r="N192" s="34" t="str">
        <x:v>https://ieeexplore.ieee.org/document/9959310</x:v>
      </x:c>
      <x:c r="O192" s="34" t="str"/>
      <x:c r="P192" s="34" t="str"/>
      <x:c r="Q192" s="38" t="str">
        <x:v>2026-08-11</x:v>
      </x:c>
    </x:row>
    <x:row r="193" ht="44" customHeight="1">
      <x:c r="A193" s="34" t="str">
        <x:v>Transrank: Self-supervised video representation learning via ranking-based transformation recognition</x:v>
      </x:c>
      <x:c r="B193" s="34" t="str">
        <x:v>Haodong Duan, Nanxuan Zhao, Kai Chen, Dahua Lin</x:v>
      </x:c>
      <x:c r="C193" s="34" t="str">
        <x:v>TransRank</x:v>
      </x:c>
      <x:c r="D193" s="34" t="str">
        <x:v>Pretext / Predictive</x:v>
      </x:c>
      <x:c r="E193" s="34" t="str">
        <x:v>Mini-Kinetics-200; Something-Something V1</x:v>
      </x:c>
      <x:c r="F193" s="34" t="str">
        <x:v>Mini-Kinetics-200; Something-Something V1; UCF101; HMDB51</x:v>
      </x:c>
      <x:c r="G193" s="34" t="str">
        <x:v>Mini-Kinetics-200; Something-Something V1; UCF101; HMDB51</x:v>
      </x:c>
      <x:c r="H193" s="36" t="str">
        <x:v>2022</x:v>
      </x:c>
      <x:c r="I193" s="34" t="str">
        <x:v>CVPR 2022</x:v>
      </x:c>
      <x:c r="J193" s="38" t="str">
        <x:v>No</x:v>
      </x:c>
      <x:c r="K193" s="38" t="str">
        <x:v>peer_reviewed</x:v>
      </x:c>
      <x:c r="L193" s="34" t="str"/>
      <x:c r="M193" s="34" t="str"/>
      <x:c r="N193" s="34" t="str">
        <x:v>https://openaccess.thecvf.com/content/CVPR2022/html/Duan_TransRank_Self-Supervised_Video_Representation_Learning_via_Ranking-Based_Transformation_Recognition_CVPR_2022_paper.html</x:v>
      </x:c>
      <x:c r="O193" s="34" t="str">
        <x:v>https://github.com/kennymckormick/TransRank</x:v>
      </x:c>
      <x:c r="P193" s="34" t="str"/>
      <x:c r="Q193" s="38" t="str">
        <x:v>2026-08-11</x:v>
      </x:c>
    </x:row>
    <x:row r="194" ht="44" customHeight="1">
      <x:c r="A194" s="34" t="str">
        <x:v>Unsupervised Learning of Spatio-Temporal Representation with Multi-Task Learning for Video Retrieval</x:v>
      </x:c>
      <x:c r="B194" s="34" t="str">
        <x:v>Vidit Kumar</x:v>
      </x:c>
      <x:c r="C194" s="34" t="str">
        <x:v>Spatiotemporal Multi-Task Learning</x:v>
      </x:c>
      <x:c r="D194" s="34" t="str">
        <x:v>Pretext / Predictive</x:v>
      </x:c>
      <x:c r="E194" s="34" t="str">
        <x:v>UCF101; HMDB51</x:v>
      </x:c>
      <x:c r="F194" s="34" t="str">
        <x:v>UCF101; HMDB51</x:v>
      </x:c>
      <x:c r="G194" s="34" t="str">
        <x:v>UCF101; HMDB51</x:v>
      </x:c>
      <x:c r="H194" s="36" t="str">
        <x:v>2022</x:v>
      </x:c>
      <x:c r="I194" s="34" t="str">
        <x:v>National Conference on Communications 2022</x:v>
      </x:c>
      <x:c r="J194" s="38" t="str">
        <x:v>No</x:v>
      </x:c>
      <x:c r="K194" s="38" t="str">
        <x:v>peer_reviewed</x:v>
      </x:c>
      <x:c r="L194" s="34" t="str"/>
      <x:c r="M194" s="34" t="str"/>
      <x:c r="N194" s="34" t="str">
        <x:v>https://ieeexplore.ieee.org/document/9806811</x:v>
      </x:c>
      <x:c r="O194" s="34" t="str"/>
      <x:c r="P194" s="34" t="str"/>
      <x:c r="Q194" s="38" t="str">
        <x:v>2026-08-11</x:v>
      </x:c>
    </x:row>
    <x:row r="195" ht="44" customHeight="1">
      <x:c r="A195" s="34" t="str">
        <x:v>Video Motion Perception for Self-supervised Representation Learning</x:v>
      </x:c>
      <x:c r="B195" s="34" t="str">
        <x:v>Wei Li, Dezhao Luo, Bo Fang, Xiaoni Li, Yu Zhou,  Weiping Wang</x:v>
      </x:c>
      <x:c r="C195" s="34" t="str">
        <x:v>Video Motion Perception (VMP)</x:v>
      </x:c>
      <x:c r="D195" s="34" t="str">
        <x:v>Pretext / Predictive</x:v>
      </x:c>
      <x:c r="E195" s="34" t="str">
        <x:v>UCF101; Kinetics-400</x:v>
      </x:c>
      <x:c r="F195" s="34" t="str">
        <x:v>UCF101; HMDB51</x:v>
      </x:c>
      <x:c r="G195" s="34" t="str">
        <x:v>UCF101; Kinetics-400; HMDB51</x:v>
      </x:c>
      <x:c r="H195" s="36" t="str">
        <x:v>2022</x:v>
      </x:c>
      <x:c r="I195" s="34" t="str">
        <x:v>ICANN 2022</x:v>
      </x:c>
      <x:c r="J195" s="38" t="str">
        <x:v>No</x:v>
      </x:c>
      <x:c r="K195" s="38" t="str">
        <x:v>peer_reviewed</x:v>
      </x:c>
      <x:c r="L195" s="34" t="str">
        <x:v>10.1007/978-3-031-15937-4_43</x:v>
      </x:c>
      <x:c r="M195" s="34" t="str"/>
      <x:c r="N195" s="34" t="str">
        <x:v>https://link.springer.com/chapter/10.1007/978-3-031-15937-4_43</x:v>
      </x:c>
      <x:c r="O195" s="34" t="str"/>
      <x:c r="P195" s="34" t="str"/>
      <x:c r="Q195" s="38" t="str">
        <x:v>2026-08-11</x:v>
      </x:c>
    </x:row>
    <x:row r="196" ht="44" customHeight="1">
      <x:c r="A196" s="34" t="str">
        <x:v>Video representation learning by identifying spatio-temporal transformation</x:v>
      </x:c>
      <x:c r="B196" s="34" t="str">
        <x:v>Sheng Geng, Shimin Zhao , Hu Liu</x:v>
      </x:c>
      <x:c r="C196" s="34" t="str">
        <x:v>Spatiotemporal Transformation Identification</x:v>
      </x:c>
      <x:c r="D196" s="34" t="str">
        <x:v>Pretext / Predictive</x:v>
      </x:c>
      <x:c r="E196" s="34" t="str">
        <x:v>UCF101</x:v>
      </x:c>
      <x:c r="F196" s="34" t="str">
        <x:v>UCF101; HMDB51</x:v>
      </x:c>
      <x:c r="G196" s="34" t="str">
        <x:v>UCF101; HMDB51</x:v>
      </x:c>
      <x:c r="H196" s="36" t="str">
        <x:v>2022</x:v>
      </x:c>
      <x:c r="I196" s="34" t="str">
        <x:v>Applied Intelligence 2022</x:v>
      </x:c>
      <x:c r="J196" s="38" t="str">
        <x:v>No</x:v>
      </x:c>
      <x:c r="K196" s="38" t="str">
        <x:v>peer_reviewed</x:v>
      </x:c>
      <x:c r="L196" s="34" t="str">
        <x:v>10.1007/s10489-021-02790-9</x:v>
      </x:c>
      <x:c r="M196" s="34" t="str"/>
      <x:c r="N196" s="34" t="str">
        <x:v>https://link.springer.com/article/10.1007/s10489-021-02790-9</x:v>
      </x:c>
      <x:c r="O196" s="34" t="str"/>
      <x:c r="P196" s="34" t="str"/>
      <x:c r="Q196" s="38" t="str">
        <x:v>2026-08-11</x:v>
      </x:c>
    </x:row>
    <x:row r="197" ht="44" customHeight="1">
      <x:c r="A197" s="34" t="str">
        <x:v>VideoMAE: Masked Autoencoders Are Data-Efficient Learners for Self-Supervised Video Pre-Training</x:v>
      </x:c>
      <x:c r="B197" s="34" t="str">
        <x:v>Zhan Tong, Yibing Song, Jue Wang, Limin Wang</x:v>
      </x:c>
      <x:c r="C197" s="34" t="str">
        <x:v>VideoMAE</x:v>
      </x:c>
      <x:c r="D197" s="34" t="str">
        <x:v>Generative / Masked</x:v>
      </x:c>
      <x:c r="E197" s="34" t="str">
        <x:v>Kinetics-400; Something-Something V2; UCF101; HMDB51</x:v>
      </x:c>
      <x:c r="F197" s="34" t="str">
        <x:v>Kinetics-400; Something-Something V2; UCF101; HMDB51</x:v>
      </x:c>
      <x:c r="G197" s="34" t="str">
        <x:v>Kinetics-400; Something-Something V2; UCF101; HMDB51</x:v>
      </x:c>
      <x:c r="H197" s="36" t="str">
        <x:v>2022</x:v>
      </x:c>
      <x:c r="I197" s="34" t="str">
        <x:v>NeurIPS 2022</x:v>
      </x:c>
      <x:c r="J197" s="38" t="str">
        <x:v>Yes</x:v>
      </x:c>
      <x:c r="K197" s="38" t="str">
        <x:v>peer_reviewed</x:v>
      </x:c>
      <x:c r="L197" s="34" t="str"/>
      <x:c r="M197" s="34" t="str">
        <x:v>2203.12602</x:v>
      </x:c>
      <x:c r="N197" s="34" t="str">
        <x:v>https://proceedings.neurips.cc/paper_files/paper/2022/hash/416f9cb3276121c42eebb86352a4354a-Abstract-Conference.html</x:v>
      </x:c>
      <x:c r="O197" s="34" t="str">
        <x:v>https://github.com/MCG-NJU/VideoMAE</x:v>
      </x:c>
      <x:c r="P197" s="34" t="str"/>
      <x:c r="Q197" s="38" t="str">
        <x:v>2026-08-11</x:v>
      </x:c>
    </x:row>
    <x:row r="198" ht="44" customHeight="1">
      <x:c r="A198" s="34" t="str">
        <x:v>A large-scale study on unsupervised spatiotemporal representation learning</x:v>
      </x:c>
      <x:c r="B198" s="34" t="str">
        <x:v>Christoph Feichtenhofer, Haoqi Fan, Bo Xiong, Ross Girshick, Kaiming He</x:v>
      </x:c>
      <x:c r="C198" s="34" t="str">
        <x:v>Space-Time Contrastive Study</x:v>
      </x:c>
      <x:c r="D198" s="34" t="str">
        <x:v>Contrastive</x:v>
      </x:c>
      <x:c r="E198" s="34" t="str">
        <x:v>Kinetics-400; Kinetics-600; Kinetics-700; Instagram-65M</x:v>
      </x:c>
      <x:c r="F198" s="34" t="str">
        <x:v>Kinetics-400; Kinetics-600; Kinetics-700; UCF101; HMDB51; AVA</x:v>
      </x:c>
      <x:c r="G198" s="34" t="str">
        <x:v>Kinetics-400; Kinetics-600; Kinetics-700; Instagram-65M; UCF101; HMDB51; AVA</x:v>
      </x:c>
      <x:c r="H198" s="36" t="str">
        <x:v>2021</x:v>
      </x:c>
      <x:c r="I198" s="34" t="str">
        <x:v>CVPR 2021</x:v>
      </x:c>
      <x:c r="J198" s="38" t="str">
        <x:v>No</x:v>
      </x:c>
      <x:c r="K198" s="38" t="str">
        <x:v>peer_reviewed</x:v>
      </x:c>
      <x:c r="L198" s="34" t="str">
        <x:v>10.1109/CVPR46437.2021.00331</x:v>
      </x:c>
      <x:c r="M198" s="34" t="str">
        <x:v>2104.14558</x:v>
      </x:c>
      <x:c r="N198" s="34" t="str">
        <x:v>https://openaccess.thecvf.com/content/CVPR2021/html/Feichtenhofer_A_Large-Scale_Study_on_Unsupervised_Spatiotemporal_Representation_Learning_CVPR_2021_paper.html</x:v>
      </x:c>
      <x:c r="O198" s="34" t="str">
        <x:v>https://github.com/facebookresearch/SlowFast</x:v>
      </x:c>
      <x:c r="P198" s="34" t="str"/>
      <x:c r="Q198" s="38" t="str">
        <x:v>2026-08-11</x:v>
      </x:c>
    </x:row>
    <x:row r="199" ht="44" customHeight="1">
      <x:c r="A199" s="34" t="str">
        <x:v>Active Contrastive Learning of Audio-Visual Video Representations</x:v>
      </x:c>
      <x:c r="B199" s="34" t="str">
        <x:v>Ma, S., Zeng, Z., McDuff, D., &amp; Song, Y.</x:v>
      </x:c>
      <x:c r="C199" s="34" t="str">
        <x:v>Cross-Modal Active Contrastive Coding (CM-ACC)</x:v>
      </x:c>
      <x:c r="D199" s="34" t="str">
        <x:v>Multimodal / Audio-Visual</x:v>
      </x:c>
      <x:c r="E199" s="34" t="str">
        <x:v>Kinetics-Sounds; Kinetics-700; AudioSet; UCF101</x:v>
      </x:c>
      <x:c r="F199" s="34" t="str">
        <x:v>UCF101; HMDB51; ESC-50</x:v>
      </x:c>
      <x:c r="G199" s="34" t="str">
        <x:v>Kinetics-Sounds; Kinetics-700; AudioSet; UCF101; HMDB51; ESC-50</x:v>
      </x:c>
      <x:c r="H199" s="36" t="str">
        <x:v>2021</x:v>
      </x:c>
      <x:c r="I199" s="34" t="str">
        <x:v>ICLR 2021</x:v>
      </x:c>
      <x:c r="J199" s="38" t="str">
        <x:v>No</x:v>
      </x:c>
      <x:c r="K199" s="38" t="str">
        <x:v>peer_reviewed</x:v>
      </x:c>
      <x:c r="L199" s="34" t="str"/>
      <x:c r="M199" s="34" t="str">
        <x:v>2009.09805</x:v>
      </x:c>
      <x:c r="N199" s="34" t="str">
        <x:v>https://openreview.net/forum?id=OMizHuea_HB</x:v>
      </x:c>
      <x:c r="O199" s="34" t="str"/>
      <x:c r="P199" s="34" t="str">
        <x:v>UCF101 is used in the paper's small-scale active-selection analysis in addition to the large pretraining collections.</x:v>
      </x:c>
      <x:c r="Q199" s="38" t="str">
        <x:v>2026-08-11</x:v>
      </x:c>
    </x:row>
    <x:row r="200" ht="44" customHeight="1">
      <x:c r="A200" s="34" t="str">
        <x:v>ASCNet: Self-supervised video representation learning with appearance-speed consistency</x:v>
      </x:c>
      <x:c r="B200" s="34" t="str">
        <x:v>Deng Huang, Wenhao Wu, Weiwen Hu, Xu Liu, Dongliang He, Zhihua Wu, Xiangmiao Wu, Mingkui Tan, Errui Ding</x:v>
      </x:c>
      <x:c r="C200" s="34" t="str">
        <x:v>ASCNet</x:v>
      </x:c>
      <x:c r="D200" s="34" t="str">
        <x:v>Contrastive</x:v>
      </x:c>
      <x:c r="E200" s="34" t="str">
        <x:v>UCF101; Kinetics-400</x:v>
      </x:c>
      <x:c r="F200" s="34" t="str">
        <x:v>UCF101; HMDB51</x:v>
      </x:c>
      <x:c r="G200" s="34" t="str">
        <x:v>UCF101; Kinetics-400; HMDB51</x:v>
      </x:c>
      <x:c r="H200" s="36" t="str">
        <x:v>2021</x:v>
      </x:c>
      <x:c r="I200" s="34" t="str">
        <x:v>ICCV 2021</x:v>
      </x:c>
      <x:c r="J200" s="38" t="str">
        <x:v>No</x:v>
      </x:c>
      <x:c r="K200" s="38" t="str">
        <x:v>peer_reviewed</x:v>
      </x:c>
      <x:c r="L200" s="34" t="str"/>
      <x:c r="M200" s="34" t="str">
        <x:v>2106.02342</x:v>
      </x:c>
      <x:c r="N200" s="34" t="str">
        <x:v>https://openaccess.thecvf.com/content/ICCV2021/html/Huang_ASCNet_Self-Supervised_Video_Representation_Learning_With_Appearance-Speed_Consistency_ICCV_2021_paper.html</x:v>
      </x:c>
      <x:c r="O200" s="34" t="str"/>
      <x:c r="P200" s="34" t="str"/>
      <x:c r="Q200" s="38" t="str">
        <x:v>2026-08-11</x:v>
      </x:c>
    </x:row>
    <x:row r="201" ht="44" customHeight="1">
      <x:c r="A201" s="34" t="str">
        <x:v>Audio-visual instance discrimination with cross-modal agreement</x:v>
      </x:c>
      <x:c r="B201" s="34" t="str">
        <x:v>Pedro Morgado, Nuno Vasconcelos, Ishan Misra</x:v>
      </x:c>
      <x:c r="C201" s="34" t="str">
        <x:v>AVID-CMA</x:v>
      </x:c>
      <x:c r="D201" s="34" t="str">
        <x:v>Multimodal / Audio-Visual</x:v>
      </x:c>
      <x:c r="E201" s="34" t="str">
        <x:v>Kinetics-400; AudioSet</x:v>
      </x:c>
      <x:c r="F201" s="34" t="str">
        <x:v>UCF101; HMDB51; ESC-50; DCASE</x:v>
      </x:c>
      <x:c r="G201" s="34" t="str">
        <x:v>Kinetics-400; AudioSet; UCF101; HMDB51; ESC-50; DCASE</x:v>
      </x:c>
      <x:c r="H201" s="36" t="str">
        <x:v>2021</x:v>
      </x:c>
      <x:c r="I201" s="34" t="str">
        <x:v>CVPR 2021</x:v>
      </x:c>
      <x:c r="J201" s="38" t="str">
        <x:v>No</x:v>
      </x:c>
      <x:c r="K201" s="38" t="str">
        <x:v>peer_reviewed</x:v>
      </x:c>
      <x:c r="L201" s="34" t="str"/>
      <x:c r="M201" s="34" t="str">
        <x:v>2004.12943</x:v>
      </x:c>
      <x:c r="N201" s="34" t="str">
        <x:v>https://openaccess.thecvf.com/content/CVPR2021/html/Morgado_Audio-Visual_Instance_Discrimination_With_Cross-Modal_Agreement_CVPR_2021_paper.html</x:v>
      </x:c>
      <x:c r="O201" s="34" t="str">
        <x:v>https://github.com/facebookresearch/AVID-CMA</x:v>
      </x:c>
      <x:c r="P201" s="34" t="str"/>
      <x:c r="Q201" s="38" t="str">
        <x:v>2026-08-11</x:v>
      </x:c>
    </x:row>
    <x:row r="202" ht="44" customHeight="1">
      <x:c r="A202" s="34" t="str">
        <x:v>Back to the Future: Cycle Encoding Prediction for Self-supervised Video Representation Learning</x:v>
      </x:c>
      <x:c r="B202" s="34" t="str">
        <x:v>Xinyu Yang, Majid Mirmehdi,Tilo Burghardt</x:v>
      </x:c>
      <x:c r="C202" s="34" t="str">
        <x:v>Cycle Encoding Prediction (CEP)</x:v>
      </x:c>
      <x:c r="D202" s="34" t="str">
        <x:v>Pretext / Predictive</x:v>
      </x:c>
      <x:c r="E202" s="34" t="str">
        <x:v>UCF101</x:v>
      </x:c>
      <x:c r="F202" s="34" t="str">
        <x:v>UCF101; HMDB51</x:v>
      </x:c>
      <x:c r="G202" s="34" t="str">
        <x:v>UCF101; HMDB51</x:v>
      </x:c>
      <x:c r="H202" s="36" t="str">
        <x:v>2021</x:v>
      </x:c>
      <x:c r="I202" s="34" t="str">
        <x:v>BMVC 2021</x:v>
      </x:c>
      <x:c r="J202" s="38" t="str">
        <x:v>No</x:v>
      </x:c>
      <x:c r="K202" s="38" t="str">
        <x:v>peer_reviewed</x:v>
      </x:c>
      <x:c r="L202" s="34" t="str"/>
      <x:c r="M202" s="34" t="str">
        <x:v>2010.07217</x:v>
      </x:c>
      <x:c r="N202" s="34" t="str">
        <x:v>https://www.bmva-archive.org.uk/bmvc/2021/assets/papers/0399.pdf</x:v>
      </x:c>
      <x:c r="O202" s="34" t="str">
        <x:v>https://github.com/youshyee/CEP</x:v>
      </x:c>
      <x:c r="P202" s="34" t="str"/>
      <x:c r="Q202" s="38" t="str">
        <x:v>2026-08-11</x:v>
      </x:c>
    </x:row>
    <x:row r="203" ht="44" customHeight="1">
      <x:c r="A203" s="34" t="str">
        <x:v>Broaden your views for self-supervised video learning</x:v>
      </x:c>
      <x:c r="B203" s="34" t="str">
        <x:v>Adria Recasens, Pauline Luc, Jean-Baptiste Alayrac, Luyu Wang, Ross Hemsley, Florian Strub, Corentin Tallec, Mateusz Malinowski, Viorica Patraucean, Florent Altche, Michal Valko, Jean-Bastien Grill, Aaron van den Oord, Andrew Zisserman</x:v>
      </x:c>
      <x:c r="C203" s="34" t="str">
        <x:v>BraVe</x:v>
      </x:c>
      <x:c r="D203" s="34" t="str">
        <x:v>Distillation / Teacher-Student</x:v>
      </x:c>
      <x:c r="E203" s="34" t="str">
        <x:v>Kinetics-400</x:v>
      </x:c>
      <x:c r="F203" s="34" t="str">
        <x:v>Kinetics-400; UCF101; HMDB51</x:v>
      </x:c>
      <x:c r="G203" s="34" t="str">
        <x:v>Kinetics-400; UCF101; HMDB51</x:v>
      </x:c>
      <x:c r="H203" s="36" t="str">
        <x:v>2021</x:v>
      </x:c>
      <x:c r="I203" s="34" t="str">
        <x:v>ICCV 2021</x:v>
      </x:c>
      <x:c r="J203" s="38" t="str">
        <x:v>No</x:v>
      </x:c>
      <x:c r="K203" s="38" t="str">
        <x:v>peer_reviewed</x:v>
      </x:c>
      <x:c r="L203" s="34" t="str">
        <x:v>10.1109/ICCV48922.2021.00129</x:v>
      </x:c>
      <x:c r="M203" s="34" t="str">
        <x:v>2103.16559</x:v>
      </x:c>
      <x:c r="N203" s="34" t="str">
        <x:v>https://openaccess.thecvf.com/content/ICCV2021/html/Recasens_Broaden_Your_Views_for_Self-Supervised_Video_Learning_ICCV_2021_paper.html</x:v>
      </x:c>
      <x:c r="O203" s="34" t="str">
        <x:v>http://github.com/deepmind/brave</x:v>
      </x:c>
      <x:c r="P203" s="34" t="str"/>
      <x:c r="Q203" s="38" t="str">
        <x:v>2026-08-11</x:v>
      </x:c>
    </x:row>
    <x:row r="204" ht="44" customHeight="1">
      <x:c r="A204" s="34" t="str">
        <x:v>CoCon: Cooperative-Contrastive Learning</x:v>
      </x:c>
      <x:c r="B204" s="34" t="str">
        <x:v>Nishant Rai, Ehsan Adeli ,Kuan-Hui Lee, Adrien Gaidon, Juan Carlos Niebles</x:v>
      </x:c>
      <x:c r="C204" s="34" t="str">
        <x:v>CoCon</x:v>
      </x:c>
      <x:c r="D204" s="34" t="str">
        <x:v>Contrastive</x:v>
      </x:c>
      <x:c r="E204" s="34" t="str">
        <x:v>Kinetics-400</x:v>
      </x:c>
      <x:c r="F204" s="34" t="str">
        <x:v>Kinetics-400; UCF101; HMDB51</x:v>
      </x:c>
      <x:c r="G204" s="34" t="str">
        <x:v>Kinetics-400; UCF101; HMDB51</x:v>
      </x:c>
      <x:c r="H204" s="36" t="str">
        <x:v>2021</x:v>
      </x:c>
      <x:c r="I204" s="34" t="str">
        <x:v>CVPR 2021</x:v>
      </x:c>
      <x:c r="J204" s="38" t="str">
        <x:v>No</x:v>
      </x:c>
      <x:c r="K204" s="38" t="str">
        <x:v>peer_reviewed</x:v>
      </x:c>
      <x:c r="L204" s="34" t="str"/>
      <x:c r="M204" s="34" t="str">
        <x:v>2104.14764</x:v>
      </x:c>
      <x:c r="N204" s="34" t="str">
        <x:v>https://openaccess.thecvf.com/content/CVPR2021/html/Rai_CoCon_Cooperative-Contrastive_Learning_CVPR_2021_paper.html</x:v>
      </x:c>
      <x:c r="O204" s="34" t="str">
        <x:v>http://github.com/nishantrai18/CoCon</x:v>
      </x:c>
      <x:c r="P204" s="34" t="str"/>
      <x:c r="Q204" s="38" t="str">
        <x:v>2026-08-11</x:v>
      </x:c>
    </x:row>
    <x:row r="205" ht="44" customHeight="1">
      <x:c r="A205" s="34" t="str">
        <x:v>Composable augmentation encoding for video representation learning</x:v>
      </x:c>
      <x:c r="B205" s="34" t="str">
        <x:v>Sun, C., Nagrani, A., Tian, Y., &amp; Schmid, C.</x:v>
      </x:c>
      <x:c r="C205" s="34" t="str">
        <x:v>Composable Augmentation Encoding (CATE)</x:v>
      </x:c>
      <x:c r="D205" s="34" t="str">
        <x:v>Contrastive</x:v>
      </x:c>
      <x:c r="E205" s="34" t="str">
        <x:v>Kinetics-400</x:v>
      </x:c>
      <x:c r="F205" s="34" t="str">
        <x:v>Kinetics-400; UCF101; HMDB51; Something-Something V2; Diving48</x:v>
      </x:c>
      <x:c r="G205" s="34" t="str">
        <x:v>Kinetics-400; UCF101; HMDB51; Something-Something V2; Diving48</x:v>
      </x:c>
      <x:c r="H205" s="36" t="str">
        <x:v>2021</x:v>
      </x:c>
      <x:c r="I205" s="34" t="str">
        <x:v>ICCV 2021</x:v>
      </x:c>
      <x:c r="J205" s="38" t="str">
        <x:v>No</x:v>
      </x:c>
      <x:c r="K205" s="38" t="str">
        <x:v>peer_reviewed</x:v>
      </x:c>
      <x:c r="L205" s="34" t="str">
        <x:v>10.1109/ICCV48922.2021.00871</x:v>
      </x:c>
      <x:c r="M205" s="34" t="str">
        <x:v>2104.00616</x:v>
      </x:c>
      <x:c r="N205" s="34" t="str">
        <x:v>https://openaccess.thecvf.com/content/ICCV2021/html/Sun_Composable_Augmentation_Encoding_for_Video_Representation_Learning_ICCV_2021_paper.html</x:v>
      </x:c>
      <x:c r="O205" s="34" t="str"/>
      <x:c r="P205" s="34" t="str"/>
      <x:c r="Q205" s="38" t="str">
        <x:v>2026-08-11</x:v>
      </x:c>
    </x:row>
    <x:row r="206" ht="44" customHeight="1">
      <x:c r="A206" s="34" t="str">
        <x:v>Contrast and order representations for video self-supervised learning</x:v>
      </x:c>
      <x:c r="B206" s="34" t="str">
        <x:v>Kai Hu, Jie Shao, Yuan Liu, Bhiksha Raj, Marios Savvides, Zhiqiang Shen</x:v>
      </x:c>
      <x:c r="C206" s="34" t="str">
        <x:v>Contrast and Order Representation (CORP)</x:v>
      </x:c>
      <x:c r="D206" s="34" t="str">
        <x:v>Other / Hybrid</x:v>
      </x:c>
      <x:c r="E206" s="34" t="str">
        <x:v>UCF101; Kinetics-400</x:v>
      </x:c>
      <x:c r="F206" s="34" t="str">
        <x:v>UCF101; HMDB51</x:v>
      </x:c>
      <x:c r="G206" s="34" t="str">
        <x:v>UCF101; Kinetics-400; HMDB51</x:v>
      </x:c>
      <x:c r="H206" s="36" t="str">
        <x:v>2021</x:v>
      </x:c>
      <x:c r="I206" s="34" t="str">
        <x:v>ICCV 2021</x:v>
      </x:c>
      <x:c r="J206" s="38" t="str">
        <x:v>No</x:v>
      </x:c>
      <x:c r="K206" s="38" t="str">
        <x:v>peer_reviewed</x:v>
      </x:c>
      <x:c r="L206" s="34" t="str">
        <x:v>10.1109/ICCV48922.2021.00784</x:v>
      </x:c>
      <x:c r="M206" s="34" t="str"/>
      <x:c r="N206" s="34" t="str">
        <x:v>https://openaccess.thecvf.com/content/ICCV2021/html/Hu_Contrast_and_Order_Representations_for_Video_Self-Supervised_Learning_ICCV_2021_paper.html</x:v>
      </x:c>
      <x:c r="O206" s="34" t="str"/>
      <x:c r="P206" s="34" t="str"/>
      <x:c r="Q206" s="38" t="str">
        <x:v>2026-08-11</x:v>
      </x:c>
    </x:row>
    <x:row r="207" ht="44" customHeight="1">
      <x:c r="A207" s="34" t="str">
        <x:v>CrossCLR: Cross-Modal Contrastive Learning for Multi-Modal Video Representations</x:v>
      </x:c>
      <x:c r="B207" s="34" t="str">
        <x:v>Zolfaghari, M., Zhu, Y., Gehler, P., &amp; Brox, T.</x:v>
      </x:c>
      <x:c r="C207" s="34" t="str">
        <x:v>CrossCLR</x:v>
      </x:c>
      <x:c r="D207" s="34" t="str">
        <x:v>Multimodal / Audio-Visual</x:v>
      </x:c>
      <x:c r="E207" s="34" t="str">
        <x:v>YouCook2; LSMDC</x:v>
      </x:c>
      <x:c r="F207" s="34" t="str">
        <x:v>YouCook2; LSMDC; MSR-VTT</x:v>
      </x:c>
      <x:c r="G207" s="34" t="str">
        <x:v>YouCook2; LSMDC; MSR-VTT</x:v>
      </x:c>
      <x:c r="H207" s="36" t="str">
        <x:v>2021</x:v>
      </x:c>
      <x:c r="I207" s="34" t="str">
        <x:v>ICCV 2021</x:v>
      </x:c>
      <x:c r="J207" s="38" t="str">
        <x:v>No</x:v>
      </x:c>
      <x:c r="K207" s="38" t="str">
        <x:v>peer_reviewed</x:v>
      </x:c>
      <x:c r="L207" s="34" t="str"/>
      <x:c r="M207" s="34" t="str">
        <x:v>2109.14910</x:v>
      </x:c>
      <x:c r="N207" s="34" t="str">
        <x:v>https://openaccess.thecvf.com/content/ICCV2021/html/Zolfaghari_CrossCLR_Cross-Modal_Contrastive_Learning_for_Multi-Modal_Video_Representations_ICCV_2021_paper.html</x:v>
      </x:c>
      <x:c r="O207" s="34" t="str"/>
      <x:c r="P207" s="34" t="str"/>
      <x:c r="Q207" s="38" t="str">
        <x:v>2026-08-11</x:v>
      </x:c>
    </x:row>
    <x:row r="208" ht="44" customHeight="1">
      <x:c r="A208" s="34" t="str">
        <x:v>Enhancing self-supervised video representation learning via multi-level feature optimization</x:v>
      </x:c>
      <x:c r="B208" s="34" t="str">
        <x:v>Rui Qian, Yuxi Li, Huabin Liu, John See, Shuangrui Ding, Xian Liu, Dian Li, Weiyao Lin</x:v>
      </x:c>
      <x:c r="C208" s="34" t="str">
        <x:v>Multi-Level Feature Optimization (MFO)</x:v>
      </x:c>
      <x:c r="D208" s="34" t="str">
        <x:v>Contrastive</x:v>
      </x:c>
      <x:c r="E208" s="34" t="str">
        <x:v>Kinetics-400</x:v>
      </x:c>
      <x:c r="F208" s="34" t="str">
        <x:v>Kinetics-400; UCF101; HMDB51; Diving48</x:v>
      </x:c>
      <x:c r="G208" s="34" t="str">
        <x:v>Kinetics-400; UCF101; HMDB51; Diving48</x:v>
      </x:c>
      <x:c r="H208" s="36" t="str">
        <x:v>2021</x:v>
      </x:c>
      <x:c r="I208" s="34" t="str">
        <x:v>ICCV 2021</x:v>
      </x:c>
      <x:c r="J208" s="38" t="str">
        <x:v>No</x:v>
      </x:c>
      <x:c r="K208" s="38" t="str">
        <x:v>peer_reviewed</x:v>
      </x:c>
      <x:c r="L208" s="34" t="str"/>
      <x:c r="M208" s="34" t="str">
        <x:v>2108.02183</x:v>
      </x:c>
      <x:c r="N208" s="34" t="str">
        <x:v>https://openaccess.thecvf.com/content/ICCV2021/html/Qian_Enhancing_Self-Supervised_Video_Representation_Learning_via_Multi-Level_Feature_Optimization_ICCV_2021_paper.html</x:v>
      </x:c>
      <x:c r="O208" s="34" t="str">
        <x:v>https://github.com/shvdiwnkozbw/Video-Representation-via-Multi-level-Optimization</x:v>
      </x:c>
      <x:c r="P208" s="34" t="str"/>
      <x:c r="Q208" s="38" t="str">
        <x:v>2026-08-11</x:v>
      </x:c>
    </x:row>
    <x:row r="209" ht="44" customHeight="1">
      <x:c r="A209" s="34" t="str">
        <x:v>Enhancing unsupervised video representation learning by decoupling the scene and the motion</x:v>
      </x:c>
      <x:c r="B209" s="34" t="str">
        <x:v>Jinpeng Wang, Yuting Gao, Ke Li, Jianguo Hu, Xinyang Jiang, Xiaowei Guo, Rongrong Ji, Xing Sun</x:v>
      </x:c>
      <x:c r="C209" s="34" t="str">
        <x:v>Decoupling Scene and Motion (DSM)</x:v>
      </x:c>
      <x:c r="D209" s="34" t="str">
        <x:v>Contrastive</x:v>
      </x:c>
      <x:c r="E209" s="34" t="str">
        <x:v>Kinetics-400; UCF101</x:v>
      </x:c>
      <x:c r="F209" s="34" t="str">
        <x:v>UCF101; HMDB51</x:v>
      </x:c>
      <x:c r="G209" s="34" t="str">
        <x:v>Kinetics-400; UCF101; HMDB51</x:v>
      </x:c>
      <x:c r="H209" s="36" t="str">
        <x:v>2021</x:v>
      </x:c>
      <x:c r="I209" s="34" t="str">
        <x:v>AAAI 2021</x:v>
      </x:c>
      <x:c r="J209" s="38" t="str">
        <x:v>No</x:v>
      </x:c>
      <x:c r="K209" s="38" t="str">
        <x:v>peer_reviewed</x:v>
      </x:c>
      <x:c r="L209" s="34" t="str"/>
      <x:c r="M209" s="34" t="str">
        <x:v>2009.05757</x:v>
      </x:c>
      <x:c r="N209" s="34" t="str">
        <x:v>https://ojs.aaai.org/index.php/AAAI/article/view/17215</x:v>
      </x:c>
      <x:c r="O209" s="34" t="str">
        <x:v>https://github.com/FingerRec/DSM-decoupling-scene-motion</x:v>
      </x:c>
      <x:c r="P209" s="34" t="str"/>
      <x:c r="Q209" s="38" t="str">
        <x:v>2026-08-11</x:v>
      </x:c>
    </x:row>
    <x:row r="210" ht="44" customHeight="1">
      <x:c r="A210" s="34" t="str">
        <x:v>Inter-intra Variant Dual Representations for Self-supervised Video Recognition</x:v>
      </x:c>
      <x:c r="B210" s="34" t="str">
        <x:v>Lin Zhang, Qi She, Zhengyang Shen, Changhu Wang</x:v>
      </x:c>
      <x:c r="C210" s="34" t="str">
        <x:v>Inter-Intra Variant Dual Representations (IVDR)</x:v>
      </x:c>
      <x:c r="D210" s="34" t="str">
        <x:v>Contrastive</x:v>
      </x:c>
      <x:c r="E210" s="34" t="str">
        <x:v>Kinetics-400; UCF101</x:v>
      </x:c>
      <x:c r="F210" s="34" t="str">
        <x:v>Kinetics-400; UCF101; HMDB51</x:v>
      </x:c>
      <x:c r="G210" s="34" t="str">
        <x:v>Kinetics-400; UCF101; HMDB51</x:v>
      </x:c>
      <x:c r="H210" s="36" t="str">
        <x:v>2021</x:v>
      </x:c>
      <x:c r="I210" s="34" t="str">
        <x:v>BMVC 2021</x:v>
      </x:c>
      <x:c r="J210" s="38" t="str">
        <x:v>No</x:v>
      </x:c>
      <x:c r="K210" s="38" t="str">
        <x:v>peer_reviewed</x:v>
      </x:c>
      <x:c r="L210" s="34" t="str">
        <x:v>10.5244/C.35.131</x:v>
      </x:c>
      <x:c r="M210" s="34" t="str">
        <x:v>2107.01194</x:v>
      </x:c>
      <x:c r="N210" s="34" t="str">
        <x:v>https://doi.org/10.5244/C.35.131</x:v>
      </x:c>
      <x:c r="O210" s="34" t="str"/>
      <x:c r="P210" s="34" t="str"/>
      <x:c r="Q210" s="38" t="str">
        <x:v>2026-08-11</x:v>
      </x:c>
    </x:row>
    <x:row r="211" ht="44" customHeight="1">
      <x:c r="A211" s="34" t="str">
        <x:v>Learning temporal dynamics from cycles in narrated video</x:v>
      </x:c>
      <x:c r="B211" s="34" t="str">
        <x:v>Epstein, D., Wu, J., Schmid, C., &amp; Sun, C.</x:v>
      </x:c>
      <x:c r="C211" s="34" t="str">
        <x:v>Multimodal Temporal Cycle Consistency (MMCC)</x:v>
      </x:c>
      <x:c r="D211" s="34" t="str">
        <x:v>Multimodal / Audio-Visual</x:v>
      </x:c>
      <x:c r="E211" s="34" t="str">
        <x:v>HowTo100M</x:v>
      </x:c>
      <x:c r="F211" s="34" t="str">
        <x:v>CrossTask; COIN; EPIC-KITCHENS-100</x:v>
      </x:c>
      <x:c r="G211" s="34" t="str">
        <x:v>HowTo100M; CrossTask; COIN; EPIC-KITCHENS-100</x:v>
      </x:c>
      <x:c r="H211" s="36" t="str">
        <x:v>2021</x:v>
      </x:c>
      <x:c r="I211" s="34" t="str">
        <x:v>ICCV 2021</x:v>
      </x:c>
      <x:c r="J211" s="38" t="str">
        <x:v>No</x:v>
      </x:c>
      <x:c r="K211" s="38" t="str">
        <x:v>peer_reviewed</x:v>
      </x:c>
      <x:c r="L211" s="34" t="str"/>
      <x:c r="M211" s="34" t="str">
        <x:v>2101.02337</x:v>
      </x:c>
      <x:c r="N211" s="34" t="str">
        <x:v>https://openaccess.thecvf.com/content/ICCV2021/html/Epstein_Learning_Temporal_Dynamics_From_Cycles_in_Narrated_Video_ICCV_2021_paper.html</x:v>
      </x:c>
      <x:c r="O211" s="34" t="str"/>
      <x:c r="P211" s="34" t="str"/>
      <x:c r="Q211" s="38" t="str">
        <x:v>2026-08-11</x:v>
      </x:c>
    </x:row>
    <x:row r="212" ht="44" customHeight="1">
      <x:c r="A212" s="34" t="str">
        <x:v>Long short view feature decomposition via contrastive video representation learning</x:v>
      </x:c>
      <x:c r="B212" s="34" t="str">
        <x:v>Nadine Behrmann, Mohsen Fayyaz, Juergen Gall, Mehdi Noroozi</x:v>
      </x:c>
      <x:c r="C212" s="34" t="str">
        <x:v>Long-Short View Feature Decomposition (LSFD)</x:v>
      </x:c>
      <x:c r="D212" s="34" t="str">
        <x:v>Contrastive</x:v>
      </x:c>
      <x:c r="E212" s="34" t="str">
        <x:v>Kinetics-400</x:v>
      </x:c>
      <x:c r="F212" s="34" t="str">
        <x:v>UCF101; HMDB51; Breakfast; 50Salads</x:v>
      </x:c>
      <x:c r="G212" s="34" t="str">
        <x:v>Kinetics-400; UCF101; HMDB51; Breakfast; 50Salads</x:v>
      </x:c>
      <x:c r="H212" s="36" t="str">
        <x:v>2021</x:v>
      </x:c>
      <x:c r="I212" s="34" t="str">
        <x:v>ICCV 2021</x:v>
      </x:c>
      <x:c r="J212" s="38" t="str">
        <x:v>No</x:v>
      </x:c>
      <x:c r="K212" s="38" t="str">
        <x:v>peer_reviewed</x:v>
      </x:c>
      <x:c r="L212" s="34" t="str"/>
      <x:c r="M212" s="34" t="str">
        <x:v>2109.11593</x:v>
      </x:c>
      <x:c r="N212" s="34" t="str">
        <x:v>https://openaccess.thecvf.com/content/ICCV2021/html/Behrmann_Long_Short_View_Feature_Decomposition_via_Contrastive_Video_Representation_Learning_ICCV_2021_paper.html</x:v>
      </x:c>
      <x:c r="O212" s="34" t="str"/>
      <x:c r="P212" s="34" t="str"/>
      <x:c r="Q212" s="38" t="str">
        <x:v>2026-08-11</x:v>
      </x:c>
    </x:row>
    <x:row r="213" ht="44" customHeight="1">
      <x:c r="A213" s="34" t="str">
        <x:v>MoDist: Motion Distillation for Self-Supervised Video Representation Learning</x:v>
      </x:c>
      <x:c r="B213" s="34" t="str">
        <x:v>Fanyi Xiao, Joseph Tighe, Davide Modolo</x:v>
      </x:c>
      <x:c r="C213" s="34" t="str">
        <x:v>MoDist</x:v>
      </x:c>
      <x:c r="D213" s="34" t="str">
        <x:v>Distillation / Teacher-Student</x:v>
      </x:c>
      <x:c r="E213" s="34" t="str">
        <x:v>Kinetics-400</x:v>
      </x:c>
      <x:c r="F213" s="34" t="str">
        <x:v>UCF101; HMDB51</x:v>
      </x:c>
      <x:c r="G213" s="34" t="str">
        <x:v>Kinetics-400; UCF101; HMDB51</x:v>
      </x:c>
      <x:c r="H213" s="36" t="str">
        <x:v>2021</x:v>
      </x:c>
      <x:c r="I213" s="34" t="str">
        <x:v>arXiv / Preprint</x:v>
      </x:c>
      <x:c r="J213" s="38" t="str">
        <x:v>No</x:v>
      </x:c>
      <x:c r="K213" s="38" t="str">
        <x:v>preprint</x:v>
      </x:c>
      <x:c r="L213" s="34" t="str"/>
      <x:c r="M213" s="34" t="str">
        <x:v>2106.09703</x:v>
      </x:c>
      <x:c r="N213" s="34" t="str">
        <x:v>https://arxiv.org/abs/2106.09703</x:v>
      </x:c>
      <x:c r="O213" s="34" t="str"/>
      <x:c r="P213" s="34" t="str"/>
      <x:c r="Q213" s="38" t="str">
        <x:v>2026-08-11</x:v>
      </x:c>
    </x:row>
    <x:row r="214" ht="44" customHeight="1">
      <x:c r="A214" s="34" t="str">
        <x:v>Motion-augmented self-training for video recognition at smaller scale</x:v>
      </x:c>
      <x:c r="B214" s="34" t="str">
        <x:v>Kirill Gavrilyuk, Mihir Jain, Ilia Karmanov, Cees G. M. Snoek</x:v>
      </x:c>
      <x:c r="C214" s="34" t="str">
        <x:v>MotionFit</x:v>
      </x:c>
      <x:c r="D214" s="34" t="str">
        <x:v>Distillation / Teacher-Student</x:v>
      </x:c>
      <x:c r="E214" s="34" t="str">
        <x:v>Kinetics-400; UCF101; HMDB51</x:v>
      </x:c>
      <x:c r="F214" s="34" t="str">
        <x:v>UCF101; HMDB51</x:v>
      </x:c>
      <x:c r="G214" s="34" t="str">
        <x:v>Kinetics-400; UCF101; HMDB51</x:v>
      </x:c>
      <x:c r="H214" s="36" t="str">
        <x:v>2021</x:v>
      </x:c>
      <x:c r="I214" s="34" t="str">
        <x:v>ICCV 2021</x:v>
      </x:c>
      <x:c r="J214" s="38" t="str">
        <x:v>No</x:v>
      </x:c>
      <x:c r="K214" s="38" t="str">
        <x:v>peer_reviewed</x:v>
      </x:c>
      <x:c r="L214" s="34" t="str"/>
      <x:c r="M214" s="34" t="str">
        <x:v>2105.01646</x:v>
      </x:c>
      <x:c r="N214" s="34" t="str">
        <x:v>https://openaccess.thecvf.com/content/ICCV2021/html/Gavrilyuk_Motion-Augmented_Self-Training_for_Video_Recognition_at_Smaller_Scale_ICCV_2021_paper.html</x:v>
      </x:c>
      <x:c r="O214" s="34" t="str"/>
      <x:c r="P214" s="34" t="str">
        <x:v>Kinetics-400 supplies unlabeled self-training video; the small target datasets train the motion teacher and evaluate transfer.</x:v>
      </x:c>
      <x:c r="Q214" s="38" t="str">
        <x:v>2026-08-11</x:v>
      </x:c>
    </x:row>
    <x:row r="215" ht="44" customHeight="1">
      <x:c r="A215" s="34" t="str">
        <x:v>Motion-focused contrastive learning of video representations</x:v>
      </x:c>
      <x:c r="B215" s="34" t="str">
        <x:v>Rui Li, Yiheng Zhang, Zhaofan Qiu, Ting Yao, Dong Liu, and Tao Mei</x:v>
      </x:c>
      <x:c r="C215" s="34" t="str">
        <x:v>Motion-Focused Contrastive Learning (MCL)</x:v>
      </x:c>
      <x:c r="D215" s="34" t="str">
        <x:v>Contrastive</x:v>
      </x:c>
      <x:c r="E215" s="34" t="str">
        <x:v>ImageNet-1K; Kinetics-400; UCF101</x:v>
      </x:c>
      <x:c r="F215" s="34" t="str">
        <x:v>Kinetics-400; UCF101; HMDB51</x:v>
      </x:c>
      <x:c r="G215" s="34" t="str">
        <x:v>ImageNet-1K; Kinetics-400; UCF101; HMDB51</x:v>
      </x:c>
      <x:c r="H215" s="36" t="str">
        <x:v>2021</x:v>
      </x:c>
      <x:c r="I215" s="34" t="str">
        <x:v>ICCV 2021</x:v>
      </x:c>
      <x:c r="J215" s="38" t="str">
        <x:v>No</x:v>
      </x:c>
      <x:c r="K215" s="38" t="str">
        <x:v>peer_reviewed</x:v>
      </x:c>
      <x:c r="L215" s="34" t="str">
        <x:v>10.1109/ICCV48922.2021.00211</x:v>
      </x:c>
      <x:c r="M215" s="34" t="str">
        <x:v>2201.04029</x:v>
      </x:c>
      <x:c r="N215" s="34" t="str">
        <x:v>https://openaccess.thecvf.com/content/ICCV2021/html/Li_Motion-Focused_Contrastive_Learning_of_Video_Representations_ICCV_2021_paper.html</x:v>
      </x:c>
      <x:c r="O215" s="34" t="str">
        <x:v>https://github.com/YihengZhang-CV/MCL-Motion-Focused-Contrastive-Learning</x:v>
      </x:c>
      <x:c r="P215" s="34" t="str"/>
      <x:c r="Q215" s="38" t="str">
        <x:v>2026-08-11</x:v>
      </x:c>
    </x:row>
    <x:row r="216" ht="44" customHeight="1">
      <x:c r="A216" s="34" t="str">
        <x:v>On compositions of transformations in contrastive self-supervised learning</x:v>
      </x:c>
      <x:c r="B216" s="34" t="str">
        <x:v>Mandela Patrick, Yuki M. Asano, Polina Kuznetsova, Ruth Fong, João F. Henriques, Geoffrey Zweig, Andrea Vedaldi</x:v>
      </x:c>
      <x:c r="C216" s="34" t="str">
        <x:v>Generalized Data Transformations (GDT)</x:v>
      </x:c>
      <x:c r="D216" s="34" t="str">
        <x:v>Contrastive</x:v>
      </x:c>
      <x:c r="E216" s="34" t="str">
        <x:v>Kinetics-400; AudioSet; HowTo100M</x:v>
      </x:c>
      <x:c r="F216" s="34" t="str">
        <x:v>UCF101; HMDB51; ESC-50; Kinetics-400</x:v>
      </x:c>
      <x:c r="G216" s="34" t="str">
        <x:v>Kinetics-400; AudioSet; HowTo100M; UCF101; HMDB51; ESC-50</x:v>
      </x:c>
      <x:c r="H216" s="36" t="str">
        <x:v>2021</x:v>
      </x:c>
      <x:c r="I216" s="34" t="str">
        <x:v>ICCV 2021</x:v>
      </x:c>
      <x:c r="J216" s="38" t="str">
        <x:v>No</x:v>
      </x:c>
      <x:c r="K216" s="38" t="str">
        <x:v>peer_reviewed</x:v>
      </x:c>
      <x:c r="L216" s="34" t="str"/>
      <x:c r="M216" s="34" t="str">
        <x:v>2003.04298</x:v>
      </x:c>
      <x:c r="N216" s="34" t="str">
        <x:v>https://openaccess.thecvf.com/content/ICCV2021/html/Patrick_On_Compositions_of_Transformations_in_Contrastive_Self-Supervised_Learning_ICCV_2021_paper.html</x:v>
      </x:c>
      <x:c r="O216" s="34" t="str">
        <x:v>https://github.com/facebookresearch/GDT</x:v>
      </x:c>
      <x:c r="P216" s="34" t="str"/>
      <x:c r="Q216" s="38" t="str">
        <x:v>2026-08-11</x:v>
      </x:c>
    </x:row>
    <x:row r="217" ht="44" customHeight="1">
      <x:c r="A217" s="34" t="str">
        <x:v>Parameter Efficient Multimodal Transformers for Video Representation Learning</x:v>
      </x:c>
      <x:c r="B217" s="34" t="str">
        <x:v>Lee, S., Yu, Y., Kim, G., Breuel, T., Kautz, J., &amp; Song, Y.</x:v>
      </x:c>
      <x:c r="C217" s="34" t="str">
        <x:v>Audio-Visual BERT (AVBERT)</x:v>
      </x:c>
      <x:c r="D217" s="34" t="str">
        <x:v>Multimodal / Audio-Visual</x:v>
      </x:c>
      <x:c r="E217" s="34" t="str">
        <x:v>Kinetics-700; AudioSet</x:v>
      </x:c>
      <x:c r="F217" s="34" t="str">
        <x:v>UCF101; ESC-50; Charades; Kinetics-Sounds</x:v>
      </x:c>
      <x:c r="G217" s="34" t="str">
        <x:v>Kinetics-700; AudioSet; UCF101; ESC-50; Charades; Kinetics-Sounds</x:v>
      </x:c>
      <x:c r="H217" s="36" t="str">
        <x:v>2021</x:v>
      </x:c>
      <x:c r="I217" s="34" t="str">
        <x:v>ICLR 2021</x:v>
      </x:c>
      <x:c r="J217" s="38" t="str">
        <x:v>No</x:v>
      </x:c>
      <x:c r="K217" s="38" t="str">
        <x:v>peer_reviewed</x:v>
      </x:c>
      <x:c r="L217" s="34" t="str"/>
      <x:c r="M217" s="34" t="str">
        <x:v>2012.04124</x:v>
      </x:c>
      <x:c r="N217" s="34" t="str">
        <x:v>https://openreview.net/forum?id=6UdQLhqJyFD</x:v>
      </x:c>
      <x:c r="O217" s="34" t="str"/>
      <x:c r="P217" s="34" t="str"/>
      <x:c r="Q217" s="38" t="str">
        <x:v>2026-08-11</x:v>
      </x:c>
    </x:row>
    <x:row r="218" ht="44" customHeight="1">
      <x:c r="A218" s="34" t="str">
        <x:v>Removing the background by adding the background: Towards background robust self-supervised video representation learning</x:v>
      </x:c>
      <x:c r="B218" s="34" t="str">
        <x:v>Jinpeng Wang, Yuting Gao, Ke Li, Yiqi Lin, Andy J. Ma, Hao Cheng, Pai Peng, Feiyue Huang, Rongrong Ji, Xing Sun</x:v>
      </x:c>
      <x:c r="C218" s="34" t="str">
        <x:v>Background Erasing (BE)</x:v>
      </x:c>
      <x:c r="D218" s="34" t="str">
        <x:v>Contrastive</x:v>
      </x:c>
      <x:c r="E218" s="34" t="str">
        <x:v>Kinetics-400; UCF101; HMDB51</x:v>
      </x:c>
      <x:c r="F218" s="34" t="str">
        <x:v>UCF101; HMDB51; Diving48</x:v>
      </x:c>
      <x:c r="G218" s="34" t="str">
        <x:v>Kinetics-400; UCF101; HMDB51; Diving48</x:v>
      </x:c>
      <x:c r="H218" s="36" t="str">
        <x:v>2021</x:v>
      </x:c>
      <x:c r="I218" s="34" t="str">
        <x:v>CVPR 2021</x:v>
      </x:c>
      <x:c r="J218" s="38" t="str">
        <x:v>No</x:v>
      </x:c>
      <x:c r="K218" s="38" t="str">
        <x:v>peer_reviewed</x:v>
      </x:c>
      <x:c r="L218" s="34" t="str"/>
      <x:c r="M218" s="34" t="str">
        <x:v>2009.05769</x:v>
      </x:c>
      <x:c r="N218" s="34" t="str">
        <x:v>https://openaccess.thecvf.com/content/CVPR2021/html/Wang_Removing_the_Background_by_Adding_the_Background_Towards_Background_Robust_Self-Supervised_CVPR_2021_paper.html</x:v>
      </x:c>
      <x:c r="O218" s="34" t="str">
        <x:v>https://github.com/FingerRec/BE</x:v>
      </x:c>
      <x:c r="P218" s="34" t="str"/>
      <x:c r="Q218" s="38" t="str">
        <x:v>2026-08-11</x:v>
      </x:c>
    </x:row>
    <x:row r="219" ht="44" customHeight="1">
      <x:c r="A219" s="34" t="str">
        <x:v>RSPNet: Relative Speed Perception for Unsupervised Video Representation Learning</x:v>
      </x:c>
      <x:c r="B219" s="34" t="str">
        <x:v>Peihao Chen, Deng Huang, Dongliang He, Xiang Long, Runhao Zeng, Shilei Wen, Mingkui Tan, Chuang Gan</x:v>
      </x:c>
      <x:c r="C219" s="34" t="str">
        <x:v>RSPNet</x:v>
      </x:c>
      <x:c r="D219" s="34" t="str">
        <x:v>Pretext / Predictive</x:v>
      </x:c>
      <x:c r="E219" s="34" t="str">
        <x:v>UCF101; Kinetics-400</x:v>
      </x:c>
      <x:c r="F219" s="34" t="str">
        <x:v>UCF101; HMDB51</x:v>
      </x:c>
      <x:c r="G219" s="34" t="str">
        <x:v>UCF101; Kinetics-400; HMDB51</x:v>
      </x:c>
      <x:c r="H219" s="36" t="str">
        <x:v>2021</x:v>
      </x:c>
      <x:c r="I219" s="34" t="str">
        <x:v>AAAI 2021</x:v>
      </x:c>
      <x:c r="J219" s="38" t="str">
        <x:v>No</x:v>
      </x:c>
      <x:c r="K219" s="38" t="str">
        <x:v>peer_reviewed</x:v>
      </x:c>
      <x:c r="L219" s="34" t="str"/>
      <x:c r="M219" s="34" t="str">
        <x:v>2011.07949</x:v>
      </x:c>
      <x:c r="N219" s="34" t="str">
        <x:v>https://ojs.aaai.org/index.php/AAAI/article/view/16189</x:v>
      </x:c>
      <x:c r="O219" s="34" t="str">
        <x:v>https://github.com/PeihaoChen/RSPNet</x:v>
      </x:c>
      <x:c r="P219" s="34" t="str"/>
      <x:c r="Q219" s="38" t="str">
        <x:v>2026-08-11</x:v>
      </x:c>
    </x:row>
    <x:row r="220" ht="44" customHeight="1">
      <x:c r="A220" s="34" t="str">
        <x:v>SeCo: Exploring Sequence Supervision for Unsupervised Representation Learning</x:v>
      </x:c>
      <x:c r="B220" s="34" t="str">
        <x:v>Ting Yao, Yiheng Zhang, Zhaofan Qiu, Yingwei Pan, Tao Mei</x:v>
      </x:c>
      <x:c r="C220" s="34" t="str">
        <x:v>SeCo</x:v>
      </x:c>
      <x:c r="D220" s="34" t="str">
        <x:v>Contrastive</x:v>
      </x:c>
      <x:c r="E220" s="34" t="str">
        <x:v>Kinetics-400</x:v>
      </x:c>
      <x:c r="F220" s="34" t="str">
        <x:v>Kinetics-400; ActivityNet; OTB-100; UCF101; HMDB51</x:v>
      </x:c>
      <x:c r="G220" s="34" t="str">
        <x:v>Kinetics-400; ActivityNet; OTB-100; UCF101; HMDB51</x:v>
      </x:c>
      <x:c r="H220" s="36" t="str">
        <x:v>2021</x:v>
      </x:c>
      <x:c r="I220" s="34" t="str">
        <x:v>AAAI 2021</x:v>
      </x:c>
      <x:c r="J220" s="38" t="str">
        <x:v>No</x:v>
      </x:c>
      <x:c r="K220" s="38" t="str">
        <x:v>peer_reviewed</x:v>
      </x:c>
      <x:c r="L220" s="34" t="str">
        <x:v>10.1609/aaai.v35i12.17274</x:v>
      </x:c>
      <x:c r="M220" s="34" t="str">
        <x:v>2008.00975</x:v>
      </x:c>
      <x:c r="N220" s="34" t="str">
        <x:v>https://ojs.aaai.org/index.php/AAAI/article/view/17274</x:v>
      </x:c>
      <x:c r="O220" s="34" t="str">
        <x:v>https://github.com/YihengZhang-CV/SeCo-Sequence-Contrastive-Learning</x:v>
      </x:c>
      <x:c r="P220" s="34" t="str"/>
      <x:c r="Q220" s="38" t="str">
        <x:v>2026-08-11</x:v>
      </x:c>
    </x:row>
    <x:row r="221" ht="44" customHeight="1">
      <x:c r="A221" s="34" t="str">
        <x:v>Self-supervised learning of compressed video representations</x:v>
      </x:c>
      <x:c r="B221" s="34" t="str">
        <x:v>Youngjae Yu, Sangho Lee, Gunhee Kim, Yale Song</x:v>
      </x:c>
      <x:c r="C221" s="34" t="str">
        <x:v>Compressed Video Representation Learning (CVRL-C)</x:v>
      </x:c>
      <x:c r="D221" s="34" t="str">
        <x:v>Pretext / Predictive</x:v>
      </x:c>
      <x:c r="E221" s="34" t="str">
        <x:v>Kinetics-400</x:v>
      </x:c>
      <x:c r="F221" s="34" t="str">
        <x:v>Kinetics-400; UCF101; HMDB51</x:v>
      </x:c>
      <x:c r="G221" s="34" t="str">
        <x:v>Kinetics-400; UCF101; HMDB51</x:v>
      </x:c>
      <x:c r="H221" s="36" t="str">
        <x:v>2021</x:v>
      </x:c>
      <x:c r="I221" s="34" t="str">
        <x:v>ICLR 2021</x:v>
      </x:c>
      <x:c r="J221" s="38" t="str">
        <x:v>No</x:v>
      </x:c>
      <x:c r="K221" s="38" t="str">
        <x:v>peer_reviewed</x:v>
      </x:c>
      <x:c r="L221" s="34" t="str"/>
      <x:c r="M221" s="34" t="str"/>
      <x:c r="N221" s="34" t="str">
        <x:v>https://openreview.net/forum?id=jMPcEkJpdD</x:v>
      </x:c>
      <x:c r="O221" s="34" t="str"/>
      <x:c r="P221" s="34" t="str"/>
      <x:c r="Q221" s="38" t="str">
        <x:v>2026-08-11</x:v>
      </x:c>
    </x:row>
    <x:row r="222" ht="44" customHeight="1">
      <x:c r="A222" s="34" t="str">
        <x:v>Self-supervised video representation learning by context and motion decoupling</x:v>
      </x:c>
      <x:c r="B222" s="34" t="str">
        <x:v>Lianghua Huang, Yu Liu, Bin Wang, Pan Pan, Yinghui Xu, Rong Jin</x:v>
      </x:c>
      <x:c r="C222" s="34" t="str">
        <x:v>Context and Motion Decoupling (CMD)</x:v>
      </x:c>
      <x:c r="D222" s="34" t="str">
        <x:v>Pretext / Predictive</x:v>
      </x:c>
      <x:c r="E222" s="34" t="str">
        <x:v>Kinetics-400</x:v>
      </x:c>
      <x:c r="F222" s="34" t="str">
        <x:v>UCF101; HMDB51</x:v>
      </x:c>
      <x:c r="G222" s="34" t="str">
        <x:v>Kinetics-400; UCF101; HMDB51</x:v>
      </x:c>
      <x:c r="H222" s="36" t="str">
        <x:v>2021</x:v>
      </x:c>
      <x:c r="I222" s="34" t="str">
        <x:v>CVPR 2021</x:v>
      </x:c>
      <x:c r="J222" s="38" t="str">
        <x:v>No</x:v>
      </x:c>
      <x:c r="K222" s="38" t="str">
        <x:v>peer_reviewed</x:v>
      </x:c>
      <x:c r="L222" s="34" t="str">
        <x:v>10.1109/CVPR46437.2021.01367</x:v>
      </x:c>
      <x:c r="M222" s="34" t="str">
        <x:v>2104.00862</x:v>
      </x:c>
      <x:c r="N222" s="34" t="str">
        <x:v>https://openaccess.thecvf.com/content/CVPR2021/html/Huang_Self-Supervised_Video_Representation_Learning_by_Context_and_Motion_Decoupling_CVPR_2021_paper.html</x:v>
      </x:c>
      <x:c r="O222" s="34" t="str"/>
      <x:c r="P222" s="34" t="str"/>
      <x:c r="Q222" s="38" t="str">
        <x:v>2026-08-11</x:v>
      </x:c>
    </x:row>
    <x:row r="223" ht="44" customHeight="1">
      <x:c r="A223" s="34" t="str">
        <x:v>Self-supervised video representation learning with meta-contrastive network</x:v>
      </x:c>
      <x:c r="B223" s="34" t="str">
        <x:v>Yuanze Lin, Xun Guo, Yan Lu</x:v>
      </x:c>
      <x:c r="C223" s="34" t="str">
        <x:v>Meta-Contrastive Network (MCN)</x:v>
      </x:c>
      <x:c r="D223" s="34" t="str">
        <x:v>Contrastive</x:v>
      </x:c>
      <x:c r="E223" s="34" t="str">
        <x:v>UCF101; Kinetics-400</x:v>
      </x:c>
      <x:c r="F223" s="34" t="str">
        <x:v>UCF101; HMDB51</x:v>
      </x:c>
      <x:c r="G223" s="34" t="str">
        <x:v>UCF101; Kinetics-400; HMDB51</x:v>
      </x:c>
      <x:c r="H223" s="36" t="str">
        <x:v>2021</x:v>
      </x:c>
      <x:c r="I223" s="34" t="str">
        <x:v>ICCV 2021</x:v>
      </x:c>
      <x:c r="J223" s="38" t="str">
        <x:v>No</x:v>
      </x:c>
      <x:c r="K223" s="38" t="str">
        <x:v>peer_reviewed</x:v>
      </x:c>
      <x:c r="L223" s="34" t="str">
        <x:v>10.1109/ICCV48922.2021.00813</x:v>
      </x:c>
      <x:c r="M223" s="34" t="str"/>
      <x:c r="N223" s="34" t="str">
        <x:v>https://openaccess.thecvf.com/content/ICCV2021/html/Lin_Self-Supervised_Video_Representation_Learning_With_Meta-Contrastive_Network_ICCV_2021_paper.html</x:v>
      </x:c>
      <x:c r="O223" s="34" t="str"/>
      <x:c r="P223" s="34" t="str"/>
      <x:c r="Q223" s="38" t="str">
        <x:v>2026-08-11</x:v>
      </x:c>
    </x:row>
    <x:row r="224" ht="44" customHeight="1">
      <x:c r="A224" s="34" t="str">
        <x:v>Self-supervised visual learning by variable playback speeds prediction of a video</x:v>
      </x:c>
      <x:c r="B224" s="34" t="str">
        <x:v>Hyeon Cho, Taehoon Kim, Hyungjin Chang, Wonjun Hwang</x:v>
      </x:c>
      <x:c r="C224" s="34" t="str">
        <x:v>Variable Playback Speed Prediction</x:v>
      </x:c>
      <x:c r="D224" s="34" t="str">
        <x:v>Pretext / Predictive</x:v>
      </x:c>
      <x:c r="E224" s="34" t="str">
        <x:v>UCF101; HMDB51</x:v>
      </x:c>
      <x:c r="F224" s="34" t="str">
        <x:v>UCF101; HMDB51</x:v>
      </x:c>
      <x:c r="G224" s="34" t="str">
        <x:v>UCF101; HMDB51</x:v>
      </x:c>
      <x:c r="H224" s="36" t="str">
        <x:v>2021</x:v>
      </x:c>
      <x:c r="I224" s="34" t="str">
        <x:v>IEEE Access 2021</x:v>
      </x:c>
      <x:c r="J224" s="38" t="str">
        <x:v>No</x:v>
      </x:c>
      <x:c r="K224" s="38" t="str">
        <x:v>peer_reviewed</x:v>
      </x:c>
      <x:c r="L224" s="34" t="str">
        <x:v>10.1109/ACCESS.2021.3084840</x:v>
      </x:c>
      <x:c r="M224" s="34" t="str">
        <x:v>2003.02692</x:v>
      </x:c>
      <x:c r="N224" s="34" t="str">
        <x:v>https://ieeexplore.ieee.org/document/9443174</x:v>
      </x:c>
      <x:c r="O224" s="34" t="str">
        <x:v>https://github.com/hyeon-jo/PSPNet</x:v>
      </x:c>
      <x:c r="P224" s="34" t="str"/>
      <x:c r="Q224" s="38" t="str">
        <x:v>2026-08-11</x:v>
      </x:c>
    </x:row>
    <x:row r="225" ht="44" customHeight="1">
      <x:c r="A225" s="34" t="str">
        <x:v>Spatiotemporal contrastive video representation learning</x:v>
      </x:c>
      <x:c r="B225" s="34" t="str">
        <x:v>Rui Qian, Tianjian Meng, Boqing Gong, Ming-Hsuan Yang, Huisheng Wang, Serge Belongie, Yin Cui</x:v>
      </x:c>
      <x:c r="C225" s="34" t="str">
        <x:v>CVRL</x:v>
      </x:c>
      <x:c r="D225" s="34" t="str">
        <x:v>Contrastive</x:v>
      </x:c>
      <x:c r="E225" s="34" t="str">
        <x:v>Kinetics-400</x:v>
      </x:c>
      <x:c r="F225" s="34" t="str">
        <x:v>Kinetics-400; UCF101; HMDB51; AVA</x:v>
      </x:c>
      <x:c r="G225" s="34" t="str">
        <x:v>Kinetics-400; UCF101; HMDB51; AVA</x:v>
      </x:c>
      <x:c r="H225" s="36" t="str">
        <x:v>2021</x:v>
      </x:c>
      <x:c r="I225" s="34" t="str">
        <x:v>CVPR 2021</x:v>
      </x:c>
      <x:c r="J225" s="38" t="str">
        <x:v>No</x:v>
      </x:c>
      <x:c r="K225" s="38" t="str">
        <x:v>peer_reviewed</x:v>
      </x:c>
      <x:c r="L225" s="34" t="str">
        <x:v>10.1109/CVPR46437.2021.00689</x:v>
      </x:c>
      <x:c r="M225" s="34" t="str">
        <x:v>2008.03800</x:v>
      </x:c>
      <x:c r="N225" s="34" t="str">
        <x:v>https://openaccess.thecvf.com/content/CVPR2021/html/Qian_Spatio-Temporal_Contrastive_Video_Representation_Learning_CVPR_2021_paper.html</x:v>
      </x:c>
      <x:c r="O225" s="34" t="str">
        <x:v>https://github.com/tensorflow/models/tree/master/official/</x:v>
      </x:c>
      <x:c r="P225" s="34" t="str"/>
      <x:c r="Q225" s="38" t="str">
        <x:v>2026-08-11</x:v>
      </x:c>
    </x:row>
    <x:row r="226" ht="44" customHeight="1">
      <x:c r="A226" s="34" t="str">
        <x:v>Temporally coherent embeddings for self-supervised video representation learning</x:v>
      </x:c>
      <x:c r="B226" s="34" t="str">
        <x:v>Joshua Knights, Ben Harwood, Daniel Ward, Anthony Vanderkop, Olivia Mackenzie-Ross, Peyman Moghadam</x:v>
      </x:c>
      <x:c r="C226" s="34" t="str">
        <x:v>Temporally Coherent Embeddings (TCE)</x:v>
      </x:c>
      <x:c r="D226" s="34" t="str">
        <x:v>Contrastive</x:v>
      </x:c>
      <x:c r="E226" s="34" t="str">
        <x:v>UCF101</x:v>
      </x:c>
      <x:c r="F226" s="34" t="str">
        <x:v>UCF101; HMDB51</x:v>
      </x:c>
      <x:c r="G226" s="34" t="str">
        <x:v>UCF101; HMDB51</x:v>
      </x:c>
      <x:c r="H226" s="36" t="str">
        <x:v>2021</x:v>
      </x:c>
      <x:c r="I226" s="34" t="str">
        <x:v>ICPR 2020</x:v>
      </x:c>
      <x:c r="J226" s="38" t="str">
        <x:v>No</x:v>
      </x:c>
      <x:c r="K226" s="38" t="str">
        <x:v>peer_reviewed</x:v>
      </x:c>
      <x:c r="L226" s="34" t="str"/>
      <x:c r="M226" s="34" t="str">
        <x:v>2004.02753</x:v>
      </x:c>
      <x:c r="N226" s="34" t="str">
        <x:v>https://ieeexplore.ieee.org/document/9412071</x:v>
      </x:c>
      <x:c r="O226" s="34" t="str">
        <x:v>https://github.com/csiro-robotics/tce</x:v>
      </x:c>
      <x:c r="P226" s="34" t="str">
        <x:v>The conference retained the ICPR 2020 name but the IEEE proceedings record was published in 2021.</x:v>
      </x:c>
      <x:c r="Q226" s="38" t="str">
        <x:v>2026-08-11</x:v>
      </x:c>
    </x:row>
    <x:row r="227" ht="44" customHeight="1">
      <x:c r="A227" s="34" t="str">
        <x:v>Time-equivariant contrastive video representation learning</x:v>
      </x:c>
      <x:c r="B227" s="34" t="str">
        <x:v>Simon Jenni, Hailin Jin</x:v>
      </x:c>
      <x:c r="C227" s="34" t="str">
        <x:v>Time-Equivariant Contrastive Learning (TE)</x:v>
      </x:c>
      <x:c r="D227" s="34" t="str">
        <x:v>Contrastive</x:v>
      </x:c>
      <x:c r="E227" s="34" t="str">
        <x:v>Kinetics-400</x:v>
      </x:c>
      <x:c r="F227" s="34" t="str">
        <x:v>Kinetics-400; UCF101; HMDB51; FineGym</x:v>
      </x:c>
      <x:c r="G227" s="34" t="str">
        <x:v>Kinetics-400; UCF101; HMDB51; FineGym</x:v>
      </x:c>
      <x:c r="H227" s="36" t="str">
        <x:v>2021</x:v>
      </x:c>
      <x:c r="I227" s="34" t="str">
        <x:v>ICCV 2021</x:v>
      </x:c>
      <x:c r="J227" s="38" t="str">
        <x:v>No</x:v>
      </x:c>
      <x:c r="K227" s="38" t="str">
        <x:v>peer_reviewed</x:v>
      </x:c>
      <x:c r="L227" s="34" t="str"/>
      <x:c r="M227" s="34" t="str">
        <x:v>2112.03624</x:v>
      </x:c>
      <x:c r="N227" s="34" t="str">
        <x:v>https://openaccess.thecvf.com/content/ICCV2021/html/Jenni_Time-Equivariant_Contrastive_Video_Representation_Learning_ICCV_2021_paper.html</x:v>
      </x:c>
      <x:c r="O227" s="34" t="str"/>
      <x:c r="P227" s="34" t="str"/>
      <x:c r="Q227" s="38" t="str">
        <x:v>2026-08-11</x:v>
      </x:c>
    </x:row>
    <x:row r="228" ht="44" customHeight="1">
      <x:c r="A228" s="34" t="str">
        <x:v>Unsupervised video representation learning by bidirectional feature prediction</x:v>
      </x:c>
      <x:c r="B228" s="34" t="str">
        <x:v>Nadine Behrmann, Juergen Gall, Mehdi Noroozi</x:v>
      </x:c>
      <x:c r="C228" s="34" t="str">
        <x:v>Bidirectional Feature Prediction (BFP)</x:v>
      </x:c>
      <x:c r="D228" s="34" t="str">
        <x:v>Pretext / Predictive</x:v>
      </x:c>
      <x:c r="E228" s="34" t="str">
        <x:v>UCF101; Kinetics-400</x:v>
      </x:c>
      <x:c r="F228" s="34" t="str">
        <x:v>UCF101; HMDB51</x:v>
      </x:c>
      <x:c r="G228" s="34" t="str">
        <x:v>UCF101; Kinetics-400; HMDB51</x:v>
      </x:c>
      <x:c r="H228" s="36" t="str">
        <x:v>2021</x:v>
      </x:c>
      <x:c r="I228" s="34" t="str">
        <x:v>WACV 2021</x:v>
      </x:c>
      <x:c r="J228" s="38" t="str">
        <x:v>No</x:v>
      </x:c>
      <x:c r="K228" s="38" t="str">
        <x:v>peer_reviewed</x:v>
      </x:c>
      <x:c r="L228" s="34" t="str"/>
      <x:c r="M228" s="34" t="str">
        <x:v>2011.06037</x:v>
      </x:c>
      <x:c r="N228" s="34" t="str">
        <x:v>https://openaccess.thecvf.com/content/WACV2021/html/Behrmann_Unsupervised_Video_Representation_Learning_by_Bidirectional_Feature_Prediction_WACV_2021_paper.html</x:v>
      </x:c>
      <x:c r="O228" s="34" t="str"/>
      <x:c r="P228" s="34" t="str"/>
      <x:c r="Q228" s="38" t="str">
        <x:v>2026-08-11</x:v>
      </x:c>
    </x:row>
    <x:row r="229" ht="44" customHeight="1">
      <x:c r="A229" s="34" t="str">
        <x:v>Unsupervised visual representation learning by tracking patches in video</x:v>
      </x:c>
      <x:c r="B229" s="34" t="str">
        <x:v>Guangting Wang, Yizhou Zhou, Chong Luo, Wenxuan Xie, Wenjun Zeng,  Zhiwei Xiong</x:v>
      </x:c>
      <x:c r="C229" s="34" t="str">
        <x:v>Catch-the-Patch (CtP)</x:v>
      </x:c>
      <x:c r="D229" s="34" t="str">
        <x:v>Pretext / Predictive</x:v>
      </x:c>
      <x:c r="E229" s="34" t="str">
        <x:v>Kinetics-400</x:v>
      </x:c>
      <x:c r="F229" s="34" t="str">
        <x:v>UCF101; HMDB51; Something-Something V1; Something-Something V2</x:v>
      </x:c>
      <x:c r="G229" s="34" t="str">
        <x:v>Kinetics-400; UCF101; HMDB51; Something-Something V1; Something-Something V2</x:v>
      </x:c>
      <x:c r="H229" s="36" t="str">
        <x:v>2021</x:v>
      </x:c>
      <x:c r="I229" s="34" t="str">
        <x:v>CVPR 2021</x:v>
      </x:c>
      <x:c r="J229" s="38" t="str">
        <x:v>No</x:v>
      </x:c>
      <x:c r="K229" s="38" t="str">
        <x:v>peer_reviewed</x:v>
      </x:c>
      <x:c r="L229" s="34" t="str"/>
      <x:c r="M229" s="34" t="str">
        <x:v>2105.02545</x:v>
      </x:c>
      <x:c r="N229" s="34" t="str">
        <x:v>https://openaccess.thecvf.com/content/CVPR2021/html/Wang_Unsupervised_Visual_Representation_Learning_by_Tracking_Patches_in_Video_CVPR_2021_paper.html</x:v>
      </x:c>
      <x:c r="O229" s="34" t="str">
        <x:v>https://github.com/microsoft/CtP</x:v>
      </x:c>
      <x:c r="P229" s="34" t="str"/>
      <x:c r="Q229" s="38" t="str">
        <x:v>2026-08-11</x:v>
      </x:c>
    </x:row>
    <x:row r="230" ht="44" customHeight="1">
      <x:c r="A230" s="34" t="str">
        <x:v>VATT: Transformers for multimodal self-supervised learning from raw video, audio and text</x:v>
      </x:c>
      <x:c r="B230" s="34" t="str">
        <x:v>Hassan Akbari, Liangzhe Yuan, Rui Qian, Wei-Hong Chuang, Shih-Fu Chang, Yin Cui, Boqing Gong</x:v>
      </x:c>
      <x:c r="C230" s="34" t="str">
        <x:v>VATT</x:v>
      </x:c>
      <x:c r="D230" s="34" t="str">
        <x:v>Multimodal / Audio-Visual</x:v>
      </x:c>
      <x:c r="E230" s="34" t="str">
        <x:v>HowTo100M; AudioSet</x:v>
      </x:c>
      <x:c r="F230" s="34" t="str">
        <x:v>Kinetics-400; Kinetics-600; Kinetics-700; Moments in Time V1; ImageNet-1K; AudioSet; YouCook2; MSR-VTT</x:v>
      </x:c>
      <x:c r="G230" s="34" t="str">
        <x:v>HowTo100M; AudioSet; Kinetics-400; Kinetics-600; Kinetics-700; Moments in Time V1; ImageNet-1K; YouCook2; MSR-VTT</x:v>
      </x:c>
      <x:c r="H230" s="36" t="str">
        <x:v>2021</x:v>
      </x:c>
      <x:c r="I230" s="34" t="str">
        <x:v>NeurIPS 2021</x:v>
      </x:c>
      <x:c r="J230" s="38" t="str">
        <x:v>Yes</x:v>
      </x:c>
      <x:c r="K230" s="38" t="str">
        <x:v>peer_reviewed</x:v>
      </x:c>
      <x:c r="L230" s="34" t="str"/>
      <x:c r="M230" s="34" t="str">
        <x:v>2104.11178</x:v>
      </x:c>
      <x:c r="N230" s="34" t="str">
        <x:v>https://proceedings.neurips.cc/paper/2021/hash/cb3213ada48302953cb0f166464ab356-Abstract.html</x:v>
      </x:c>
      <x:c r="O230" s="34" t="str">
        <x:v>https://github.com/google-research/google-research/tree/master/vatt</x:v>
      </x:c>
      <x:c r="P230" s="34" t="str"/>
      <x:c r="Q230" s="38" t="str">
        <x:v>2026-08-11</x:v>
      </x:c>
    </x:row>
    <x:row r="231" ht="44" customHeight="1">
      <x:c r="A231" s="34" t="str">
        <x:v>Vi2CLR: Video and image for visual contrastive learning of representation</x:v>
      </x:c>
      <x:c r="B231" s="34" t="str">
        <x:v>Ali Diba, Vivek Sharma, Reza Safdari, Dariush Lotfi, M. Saquib Sarfraz,Rainer Stiefelhagen, Luc Van Gool,</x:v>
      </x:c>
      <x:c r="C231" s="34" t="str">
        <x:v>Vi2CLR</x:v>
      </x:c>
      <x:c r="D231" s="34" t="str">
        <x:v>Contrastive</x:v>
      </x:c>
      <x:c r="E231" s="34" t="str">
        <x:v>ImageNet-1K; Kinetics-400</x:v>
      </x:c>
      <x:c r="F231" s="34" t="str">
        <x:v>Kinetics-400; UCF101; HMDB51</x:v>
      </x:c>
      <x:c r="G231" s="34" t="str">
        <x:v>ImageNet-1K; Kinetics-400; UCF101; HMDB51</x:v>
      </x:c>
      <x:c r="H231" s="36" t="str">
        <x:v>2021</x:v>
      </x:c>
      <x:c r="I231" s="34" t="str">
        <x:v>ICCV 2021</x:v>
      </x:c>
      <x:c r="J231" s="38" t="str">
        <x:v>No</x:v>
      </x:c>
      <x:c r="K231" s="38" t="str">
        <x:v>peer_reviewed</x:v>
      </x:c>
      <x:c r="L231" s="34" t="str"/>
      <x:c r="M231" s="34" t="str"/>
      <x:c r="N231" s="34" t="str">
        <x:v>https://openaccess.thecvf.com/content/ICCV2021/html/Diba_Vi2CLR_Video_and_Image_for_Visual_Contrastive_Learning_of_Representation_ICCV_2021_paper.html</x:v>
      </x:c>
      <x:c r="O231" s="34" t="str"/>
      <x:c r="P231" s="34" t="str"/>
      <x:c r="Q231" s="38" t="str">
        <x:v>2026-08-11</x:v>
      </x:c>
    </x:row>
    <x:row r="232" ht="44" customHeight="1">
      <x:c r="A232" s="34" t="str">
        <x:v>Video contrastive learning with global context</x:v>
      </x:c>
      <x:c r="B232" s="34" t="str">
        <x:v>Haofei Kuang, Yi Zhu, Zhi Zhang, Xinyu Li, Joseph Tighe,Soren Schwertfeger, Cyrill Stachniss, Mu Li</x:v>
      </x:c>
      <x:c r="C232" s="34" t="str">
        <x:v>VCLR</x:v>
      </x:c>
      <x:c r="D232" s="34" t="str">
        <x:v>Contrastive</x:v>
      </x:c>
      <x:c r="E232" s="34" t="str">
        <x:v>Kinetics-400</x:v>
      </x:c>
      <x:c r="F232" s="34" t="str">
        <x:v>Kinetics-400; UCF101; HMDB51; ActivityNet; THUMOS14</x:v>
      </x:c>
      <x:c r="G232" s="34" t="str">
        <x:v>Kinetics-400; UCF101; HMDB51; ActivityNet; THUMOS14</x:v>
      </x:c>
      <x:c r="H232" s="36" t="str">
        <x:v>2021</x:v>
      </x:c>
      <x:c r="I232" s="34" t="str">
        <x:v>ICCV Workshops 2021</x:v>
      </x:c>
      <x:c r="J232" s="38" t="str">
        <x:v>No</x:v>
      </x:c>
      <x:c r="K232" s="38" t="str">
        <x:v>peer_reviewed</x:v>
      </x:c>
      <x:c r="L232" s="34" t="str"/>
      <x:c r="M232" s="34" t="str">
        <x:v>2108.02722</x:v>
      </x:c>
      <x:c r="N232" s="34" t="str">
        <x:v>https://openaccess.thecvf.com/content/ICCV2021W/CVEU/html/Kuang_Video_Contrastive_Learning_With_Global_Context_ICCVW_2021_paper.html</x:v>
      </x:c>
      <x:c r="O232" s="34" t="str">
        <x:v>https://github.com/amazon-science/video-contrastive-learning</x:v>
      </x:c>
      <x:c r="P232" s="34" t="str"/>
      <x:c r="Q232" s="38" t="str">
        <x:v>2026-08-11</x:v>
      </x:c>
    </x:row>
    <x:row r="233" ht="44" customHeight="1">
      <x:c r="A233" s="34" t="str">
        <x:v>VideoMoCo: Contrastive Video Representation Learning with Temporally Adversarial Examples</x:v>
      </x:c>
      <x:c r="B233" s="34" t="str">
        <x:v>Tian Pan, Yibing Song, Tianyu Yang, Wenhao Jiang, Wei Liu</x:v>
      </x:c>
      <x:c r="C233" s="34" t="str">
        <x:v>VideoMoCo</x:v>
      </x:c>
      <x:c r="D233" s="34" t="str">
        <x:v>Contrastive</x:v>
      </x:c>
      <x:c r="E233" s="34" t="str">
        <x:v>Kinetics-400</x:v>
      </x:c>
      <x:c r="F233" s="34" t="str">
        <x:v>UCF101; HMDB51</x:v>
      </x:c>
      <x:c r="G233" s="34" t="str">
        <x:v>Kinetics-400; UCF101; HMDB51</x:v>
      </x:c>
      <x:c r="H233" s="36" t="str">
        <x:v>2021</x:v>
      </x:c>
      <x:c r="I233" s="34" t="str">
        <x:v>CVPR 2021</x:v>
      </x:c>
      <x:c r="J233" s="38" t="str">
        <x:v>No</x:v>
      </x:c>
      <x:c r="K233" s="38" t="str">
        <x:v>peer_reviewed</x:v>
      </x:c>
      <x:c r="L233" s="34" t="str"/>
      <x:c r="M233" s="34" t="str">
        <x:v>2103.05905</x:v>
      </x:c>
      <x:c r="N233" s="34" t="str">
        <x:v>https://openaccess.thecvf.com/content/CVPR2021/html/Pan_VideoMoCo_Contrastive_Video_Representation_Learning_With_Temporally_Adversarial_Examples_CVPR_2021_paper.html</x:v>
      </x:c>
      <x:c r="O233" s="34" t="str">
        <x:v>https://github.com/tinapan-pt/VideoMoCo</x:v>
      </x:c>
      <x:c r="P233" s="34" t="str"/>
      <x:c r="Q233" s="38" t="str">
        <x:v>2026-08-11</x:v>
      </x:c>
    </x:row>
    <x:row r="234" ht="44" customHeight="1">
      <x:c r="A234" s="34" t="str">
        <x:v>VIMPAC: Video Pre-Training via Masked Token Prediction and Contrastive Learning</x:v>
      </x:c>
      <x:c r="B234" s="34" t="str">
        <x:v>Hao Tan, Jie Lei, Thomas Wolf, Mohit Bansal</x:v>
      </x:c>
      <x:c r="C234" s="34" t="str">
        <x:v>VIMPAC</x:v>
      </x:c>
      <x:c r="D234" s="34" t="str">
        <x:v>Generative / Masked</x:v>
      </x:c>
      <x:c r="E234" s="34" t="str">
        <x:v>HowTo100M</x:v>
      </x:c>
      <x:c r="F234" s="34" t="str">
        <x:v>Something-Something V2; Diving48; UCF101; HMDB51</x:v>
      </x:c>
      <x:c r="G234" s="34" t="str">
        <x:v>HowTo100M; Something-Something V2; Diving48; UCF101; HMDB51</x:v>
      </x:c>
      <x:c r="H234" s="36" t="str">
        <x:v>2021</x:v>
      </x:c>
      <x:c r="I234" s="34" t="str">
        <x:v>NeurIPS 2021</x:v>
      </x:c>
      <x:c r="J234" s="38" t="str">
        <x:v>Yes</x:v>
      </x:c>
      <x:c r="K234" s="38" t="str">
        <x:v>peer_reviewed</x:v>
      </x:c>
      <x:c r="L234" s="34" t="str"/>
      <x:c r="M234" s="34" t="str">
        <x:v>2106.11250</x:v>
      </x:c>
      <x:c r="N234" s="34" t="str">
        <x:v>https://openreview.net/forum?id=NP9T_pViXU</x:v>
      </x:c>
      <x:c r="O234" s="34" t="str"/>
      <x:c r="P234" s="34" t="str"/>
      <x:c r="Q234" s="38" t="str">
        <x:v>2026-08-11</x:v>
      </x:c>
    </x:row>
    <x:row r="235" ht="44" customHeight="1">
      <x:c r="A235" s="34" t="str">
        <x:v>Watching the World Go By: Representation Learning from Unlabeled Videos</x:v>
      </x:c>
      <x:c r="B235" s="34" t="str">
        <x:v>Daniel Gordon, Kiana Ehsani, Dieter Fox, Ali Farhadi</x:v>
      </x:c>
      <x:c r="C235" s="34" t="str">
        <x:v>Video Noise-Contrastive Estimation (VINCE)</x:v>
      </x:c>
      <x:c r="D235" s="34" t="str">
        <x:v>Contrastive</x:v>
      </x:c>
      <x:c r="E235" s="34" t="str">
        <x:v>R2V2; YouTube-8M URL collection; Kinetics-400 URL collection</x:v>
      </x:c>
      <x:c r="F235" s="34" t="str">
        <x:v>ImageNet-1K; SUN397; Kinetics-400; GOT-10k; OTB-2015</x:v>
      </x:c>
      <x:c r="G235" s="34" t="str">
        <x:v>R2V2; YouTube-8M URL collection; Kinetics-400 URL collection; ImageNet-1K; SUN397; Kinetics-400; GOT-10k; OTB-2015</x:v>
      </x:c>
      <x:c r="H235" s="36" t="str">
        <x:v>2021</x:v>
      </x:c>
      <x:c r="I235" s="34" t="str">
        <x:v>ICLR 2021</x:v>
      </x:c>
      <x:c r="J235" s="38" t="str">
        <x:v>No</x:v>
      </x:c>
      <x:c r="K235" s="38" t="str">
        <x:v>peer_reviewed</x:v>
      </x:c>
      <x:c r="L235" s="34" t="str"/>
      <x:c r="M235" s="34" t="str">
        <x:v>2003.07990</x:v>
      </x:c>
      <x:c r="N235" s="34" t="str">
        <x:v>https://openreview.net/forum?id=iktA2PtTRsK</x:v>
      </x:c>
      <x:c r="O235" s="34" t="str"/>
      <x:c r="P235" s="34" t="str">
        <x:v>R2V2 is the authors' Random Related Video Views collection; URL-based YouTube-8M and Kinetics-400 collections are reported as variants.</x:v>
      </x:c>
      <x:c r="Q235" s="38" t="str">
        <x:v>2026-08-11</x:v>
      </x:c>
    </x:row>
    <x:row r="236" ht="44" customHeight="1">
      <x:c r="A236" s="34" t="str">
        <x:v>Watching too much television is good: Self-supervised audio-visual representation learning from movies and tv shows</x:v>
      </x:c>
      <x:c r="B236" s="34" t="str">
        <x:v>Mahdi M. Kalayeh, Nagendra Kamath, Lingyi Liu</x:v>
      </x:c>
      <x:c r="C236" s="34" t="str">
        <x:v>Long-form Audio-Visual Contrastive Learning</x:v>
      </x:c>
      <x:c r="D236" s="34" t="str">
        <x:v>Multimodal / Audio-Visual</x:v>
      </x:c>
      <x:c r="E236" s="34" t="str">
        <x:v>Long-form movies and TV shows</x:v>
      </x:c>
      <x:c r="F236" s="34" t="str">
        <x:v>UCF101; HMDB51; ESC-50</x:v>
      </x:c>
      <x:c r="G236" s="34" t="str">
        <x:v>Long-form movies and TV shows; UCF101; HMDB51; ESC-50</x:v>
      </x:c>
      <x:c r="H236" s="36" t="str">
        <x:v>2021</x:v>
      </x:c>
      <x:c r="I236" s="34" t="str">
        <x:v>arXiv / Preprint</x:v>
      </x:c>
      <x:c r="J236" s="38" t="str">
        <x:v>No</x:v>
      </x:c>
      <x:c r="K236" s="38" t="str">
        <x:v>preprint</x:v>
      </x:c>
      <x:c r="L236" s="34" t="str"/>
      <x:c r="M236" s="34" t="str">
        <x:v>2106.08513</x:v>
      </x:c>
      <x:c r="N236" s="34" t="str">
        <x:v>https://arxiv.org/abs/2106.08513</x:v>
      </x:c>
      <x:c r="O236" s="34" t="str"/>
      <x:c r="P236" s="34" t="str">
        <x:v>The training collection is described by media type rather than released as a named benchmark.</x:v>
      </x:c>
      <x:c r="Q236" s="38" t="str">
        <x:v>2026-08-11</x:v>
      </x:c>
    </x:row>
    <x:row r="237" ht="44" customHeight="1">
      <x:c r="A237" s="34" t="str">
        <x:v>AudioVisual SlowFast Networks for Video Recognition</x:v>
      </x:c>
      <x:c r="B237" s="34" t="str">
        <x:v>Fanyi Xiao, Yong Jae Lee, Kristen Grauman, Jitendra Malik, Christoph Feichtenhofer</x:v>
      </x:c>
      <x:c r="C237" s="34" t="str">
        <x:v>AudioVisual SlowFast (AVSlowFast)</x:v>
      </x:c>
      <x:c r="D237" s="34" t="str">
        <x:v>Multimodal / Audio-Visual</x:v>
      </x:c>
      <x:c r="E237" s="34" t="str">
        <x:v>Kinetics-400; Kinetics-600</x:v>
      </x:c>
      <x:c r="F237" s="34" t="str">
        <x:v>EPIC-KITCHENS-55; Kinetics-400; Kinetics-600; Kinetics-Sounds; Charades; AVA; UCF101; HMDB51</x:v>
      </x:c>
      <x:c r="G237" s="34" t="str">
        <x:v>Kinetics-400; Kinetics-600; EPIC-KITCHENS-55; Kinetics-Sounds; Charades; AVA; UCF101; HMDB51</x:v>
      </x:c>
      <x:c r="H237" s="36" t="str">
        <x:v>2020</x:v>
      </x:c>
      <x:c r="I237" s="34" t="str">
        <x:v>arXiv / Preprint</x:v>
      </x:c>
      <x:c r="J237" s="38" t="str">
        <x:v>No</x:v>
      </x:c>
      <x:c r="K237" s="38" t="str">
        <x:v>preprint</x:v>
      </x:c>
      <x:c r="L237" s="34" t="str"/>
      <x:c r="M237" s="34" t="str">
        <x:v>2001.08740</x:v>
      </x:c>
      <x:c r="N237" s="34" t="str">
        <x:v>https://arxiv.org/abs/2001.08740</x:v>
      </x:c>
      <x:c r="O237" s="34" t="str">
        <x:v>https://github.com/facebookresearch/SlowFast</x:v>
      </x:c>
      <x:c r="P237" s="34" t="str"/>
      <x:c r="Q237" s="38" t="str">
        <x:v>2026-08-11</x:v>
      </x:c>
    </x:row>
    <x:row r="238" ht="44" customHeight="1">
      <x:c r="A238" s="34" t="str">
        <x:v>Can temporal information help with contrastive self-supervised learning?</x:v>
      </x:c>
      <x:c r="B238" s="34" t="str">
        <x:v>Yutong Bai, Haoqi Fan, Ishan Misra, Ganesh Venkatesh, Yongyi Lu</x:v>
      </x:c>
      <x:c r="C238" s="34" t="str">
        <x:v>Temporal-Aware Contrastive Learning (TaCo)</x:v>
      </x:c>
      <x:c r="D238" s="34" t="str">
        <x:v>Other / Hybrid</x:v>
      </x:c>
      <x:c r="E238" s="34" t="str">
        <x:v>Kinetics-400</x:v>
      </x:c>
      <x:c r="F238" s="34" t="str">
        <x:v>UCF101; HMDB51</x:v>
      </x:c>
      <x:c r="G238" s="34" t="str">
        <x:v>Kinetics-400; UCF101; HMDB51</x:v>
      </x:c>
      <x:c r="H238" s="36" t="str">
        <x:v>2020</x:v>
      </x:c>
      <x:c r="I238" s="34" t="str">
        <x:v>arXiv / Preprint</x:v>
      </x:c>
      <x:c r="J238" s="38" t="str">
        <x:v>No</x:v>
      </x:c>
      <x:c r="K238" s="38" t="str">
        <x:v>preprint</x:v>
      </x:c>
      <x:c r="L238" s="34" t="str"/>
      <x:c r="M238" s="34" t="str">
        <x:v>2011.13046</x:v>
      </x:c>
      <x:c r="N238" s="34" t="str">
        <x:v>https://arxiv.org/abs/2011.13046</x:v>
      </x:c>
      <x:c r="O238" s="34" t="str"/>
      <x:c r="P238" s="34" t="str"/>
      <x:c r="Q238" s="38" t="str">
        <x:v>2026-08-11</x:v>
      </x:c>
    </x:row>
    <x:row r="239" ht="44" customHeight="1">
      <x:c r="A239" s="34" t="str">
        <x:v>Contrastive multiview coding</x:v>
      </x:c>
      <x:c r="B239" s="34" t="str">
        <x:v>Yonglong Tian, Dilip Krishnan, Phillip Isola</x:v>
      </x:c>
      <x:c r="C239" s="34" t="str">
        <x:v>Contrastive Multiview Coding (CMC)</x:v>
      </x:c>
      <x:c r="D239" s="34" t="str">
        <x:v>Contrastive</x:v>
      </x:c>
      <x:c r="E239" s="34" t="str">
        <x:v>ImageNet-1K; UCF101; NYU Depth V2</x:v>
      </x:c>
      <x:c r="F239" s="34" t="str">
        <x:v>ImageNet-1K; ImageNet-100; STL-10; UCF101; HMDB51; NYU Depth V2</x:v>
      </x:c>
      <x:c r="G239" s="34" t="str">
        <x:v>ImageNet-1K; UCF101; NYU Depth V2; ImageNet-100; STL-10; HMDB51</x:v>
      </x:c>
      <x:c r="H239" s="36" t="str">
        <x:v>2020</x:v>
      </x:c>
      <x:c r="I239" s="34" t="str">
        <x:v>ECCV 2020</x:v>
      </x:c>
      <x:c r="J239" s="38" t="str">
        <x:v>No</x:v>
      </x:c>
      <x:c r="K239" s="38" t="str">
        <x:v>peer_reviewed</x:v>
      </x:c>
      <x:c r="L239" s="34" t="str">
        <x:v>10.1007/978-3-030-58621-8_45</x:v>
      </x:c>
      <x:c r="M239" s="34" t="str">
        <x:v>1906.05849</x:v>
      </x:c>
      <x:c r="N239" s="34" t="str">
        <x:v>https://link.springer.com/chapter/10.1007/978-3-030-58621-8_45</x:v>
      </x:c>
      <x:c r="O239" s="34" t="str">
        <x:v>http://github.com/HobbitLong/CMC/</x:v>
      </x:c>
      <x:c r="P239" s="34" t="str"/>
      <x:c r="Q239" s="38" t="str">
        <x:v>2026-08-11</x:v>
      </x:c>
    </x:row>
    <x:row r="240" ht="44" customHeight="1">
      <x:c r="A240" s="34" t="str">
        <x:v>Cycle-Contrast for Self-Supervised Video Representation Learning</x:v>
      </x:c>
      <x:c r="B240" s="34" t="str">
        <x:v>Quan Kong, Wenpeng Wei, Ziwei Deng, Tomoaki Yoshinaga, Tomokazu Murakami</x:v>
      </x:c>
      <x:c r="C240" s="34" t="str">
        <x:v>Cycle-Contrastive Learning (CCL)</x:v>
      </x:c>
      <x:c r="D240" s="34" t="str">
        <x:v>Contrastive</x:v>
      </x:c>
      <x:c r="E240" s="34" t="str">
        <x:v>UCF101; Kinetics-400</x:v>
      </x:c>
      <x:c r="F240" s="34" t="str">
        <x:v>UCF101; HMDB51; MMAct</x:v>
      </x:c>
      <x:c r="G240" s="34" t="str">
        <x:v>UCF101; Kinetics-400; HMDB51; MMAct</x:v>
      </x:c>
      <x:c r="H240" s="36" t="str">
        <x:v>2020</x:v>
      </x:c>
      <x:c r="I240" s="34" t="str">
        <x:v>NeurIPS 2020</x:v>
      </x:c>
      <x:c r="J240" s="38" t="str">
        <x:v>Yes</x:v>
      </x:c>
      <x:c r="K240" s="38" t="str">
        <x:v>peer_reviewed</x:v>
      </x:c>
      <x:c r="L240" s="34" t="str"/>
      <x:c r="M240" s="34" t="str">
        <x:v>2010.14810</x:v>
      </x:c>
      <x:c r="N240" s="34" t="str">
        <x:v>https://proceedings.neurips.cc/paper_files/paper/2020/hash/5c9452254bccd24b8ad0bb1ab4408ad1-Abstract.html</x:v>
      </x:c>
      <x:c r="O240" s="34" t="str"/>
      <x:c r="P240" s="34" t="str"/>
      <x:c r="Q240" s="38" t="str">
        <x:v>2026-08-11</x:v>
      </x:c>
    </x:row>
    <x:row r="241" ht="44" customHeight="1">
      <x:c r="A241" s="34" t="str">
        <x:v>End-to-end learning of visual representations from uncurated instructional videos</x:v>
      </x:c>
      <x:c r="B241" s="34" t="str">
        <x:v>Antoine Miech, Jean-Baptiste Alayrac, Lucas Smaira,Ivan Laptev, Josef Sivic, Andrew Zisserman</x:v>
      </x:c>
      <x:c r="C241" s="34" t="str">
        <x:v>Multiple-Instance Noise-Contrastive Estimation (MIL-NCE)</x:v>
      </x:c>
      <x:c r="D241" s="34" t="str">
        <x:v>Multimodal / Video-Language</x:v>
      </x:c>
      <x:c r="E241" s="34" t="str">
        <x:v>HowTo100M</x:v>
      </x:c>
      <x:c r="F241" s="34" t="str">
        <x:v>HMDB51; UCF101; Kinetics-700; YouCook2; MSR-VTT; YouTube-8M Segments; CrossTask; COIN</x:v>
      </x:c>
      <x:c r="G241" s="34" t="str">
        <x:v>HowTo100M; HMDB51; UCF101; Kinetics-700; YouCook2; MSR-VTT; YouTube-8M Segments; CrossTask; COIN</x:v>
      </x:c>
      <x:c r="H241" s="36" t="str">
        <x:v>2020</x:v>
      </x:c>
      <x:c r="I241" s="34" t="str">
        <x:v>CVPR 2020</x:v>
      </x:c>
      <x:c r="J241" s="38" t="str">
        <x:v>No</x:v>
      </x:c>
      <x:c r="K241" s="38" t="str">
        <x:v>peer_reviewed</x:v>
      </x:c>
      <x:c r="L241" s="34" t="str"/>
      <x:c r="M241" s="34" t="str">
        <x:v>1912.06430</x:v>
      </x:c>
      <x:c r="N241" s="34" t="str">
        <x:v>https://openaccess.thecvf.com/content_CVPR_2020/html/Miech_End-to-End_Learning_of_Visual_Representations_From_Uncurated_Instructional_Videos_CVPR_2020_paper.html</x:v>
      </x:c>
      <x:c r="O241" s="34" t="str">
        <x:v>https://github.com/antoine77340/MIL-NCE_HowTo100M</x:v>
      </x:c>
      <x:c r="P241" s="34" t="str"/>
      <x:c r="Q241" s="38" t="str">
        <x:v>2026-08-11</x:v>
      </x:c>
    </x:row>
    <x:row r="242" ht="44" customHeight="1">
      <x:c r="A242" s="34" t="str">
        <x:v>Evolving losses for unsupervised video representation learning</x:v>
      </x:c>
      <x:c r="B242" s="34" t="str">
        <x:v>AJ Piergiovanni, Anelia Angelova, Michael S. Ryoo</x:v>
      </x:c>
      <x:c r="C242" s="34" t="str">
        <x:v>Evolving Losses (ELo)</x:v>
      </x:c>
      <x:c r="D242" s="34" t="str">
        <x:v>Other / Hybrid</x:v>
      </x:c>
      <x:c r="E242" s="34" t="str">
        <x:v>YouTube-8M</x:v>
      </x:c>
      <x:c r="F242" s="34" t="str">
        <x:v>HMDB51; UCF101; Kinetics-400</x:v>
      </x:c>
      <x:c r="G242" s="34" t="str">
        <x:v>YouTube-8M; HMDB51; UCF101; Kinetics-400</x:v>
      </x:c>
      <x:c r="H242" s="36" t="str">
        <x:v>2020</x:v>
      </x:c>
      <x:c r="I242" s="34" t="str">
        <x:v>CVPR 2020</x:v>
      </x:c>
      <x:c r="J242" s="38" t="str">
        <x:v>No</x:v>
      </x:c>
      <x:c r="K242" s="38" t="str">
        <x:v>peer_reviewed</x:v>
      </x:c>
      <x:c r="L242" s="34" t="str">
        <x:v>10.1109/CVPR42600.2020.00021</x:v>
      </x:c>
      <x:c r="M242" s="34" t="str"/>
      <x:c r="N242" s="34" t="str">
        <x:v>https://openaccess.thecvf.com/content_CVPR_2020/html/Piergiovanni_Evolving_Losses_for_Unsupervised_Video_Representation_Learning_CVPR_2020_paper.html</x:v>
      </x:c>
      <x:c r="O242" s="34" t="str"/>
      <x:c r="P242" s="34" t="str">
        <x:v>Pretraining uses a random two-million-video subset sampled from YouTube-8M.</x:v>
      </x:c>
      <x:c r="Q242" s="38" t="str">
        <x:v>2026-08-11</x:v>
      </x:c>
    </x:row>
    <x:row r="243" ht="44" customHeight="1">
      <x:c r="A243" s="34" t="str">
        <x:v>Look, Listen, and Attend: Co-Attention Network for Self-Supervised Audio-Visual Representation Learning</x:v>
      </x:c>
      <x:c r="B243" s="34" t="str">
        <x:v>Cheng, Y., Wang, R., Pan, Z., Feng, R., &amp; Zhang, Y.</x:v>
      </x:c>
      <x:c r="C243" s="34" t="str">
        <x:v>Look, Listen, and Attend (LLA)</x:v>
      </x:c>
      <x:c r="D243" s="34" t="str">
        <x:v>Multimodal / Audio-Visual</x:v>
      </x:c>
      <x:c r="E243" s="34" t="str">
        <x:v>AudioSet-240K</x:v>
      </x:c>
      <x:c r="F243" s="34" t="str">
        <x:v>AudioSet-240K; AudioSet-750K; Kinetics-400; Kinetics-Sounds; UCF101; HMDB51</x:v>
      </x:c>
      <x:c r="G243" s="34" t="str">
        <x:v>AudioSet-240K; AudioSet-750K; Kinetics-400; Kinetics-Sounds; UCF101; HMDB51</x:v>
      </x:c>
      <x:c r="H243" s="36" t="str">
        <x:v>2020</x:v>
      </x:c>
      <x:c r="I243" s="34" t="str">
        <x:v>ACM Multimedia 2020</x:v>
      </x:c>
      <x:c r="J243" s="38" t="str">
        <x:v>No</x:v>
      </x:c>
      <x:c r="K243" s="38" t="str">
        <x:v>peer_reviewed</x:v>
      </x:c>
      <x:c r="L243" s="34" t="str">
        <x:v>10.1145/3394171.3413869</x:v>
      </x:c>
      <x:c r="M243" s="34" t="str">
        <x:v>2008.05789</x:v>
      </x:c>
      <x:c r="N243" s="34" t="str">
        <x:v>https://dl.acm.org/doi/10.1145/3394171.3413869</x:v>
      </x:c>
      <x:c r="O243" s="34" t="str"/>
      <x:c r="P243" s="34" t="str">
        <x:v>AudioSet-240K is resegmented without constraining the clips to the original label ontology.</x:v>
      </x:c>
      <x:c r="Q243" s="38" t="str">
        <x:v>2026-08-11</x:v>
      </x:c>
    </x:row>
    <x:row r="244" ht="44" customHeight="1">
      <x:c r="A244" s="34" t="str">
        <x:v>Memory-augmented dense predictive coding for video representation learning</x:v>
      </x:c>
      <x:c r="B244" s="34" t="str">
        <x:v>Tengda Han, Weidi Xie, Andrew Zisserman</x:v>
      </x:c>
      <x:c r="C244" s="34" t="str">
        <x:v>Memory-Augmented Dense Predictive Coding (MemDPC)</x:v>
      </x:c>
      <x:c r="D244" s="34" t="str">
        <x:v>Pretext / Predictive</x:v>
      </x:c>
      <x:c r="E244" s="34" t="str">
        <x:v>UCF101; Kinetics-400; Oops</x:v>
      </x:c>
      <x:c r="F244" s="34" t="str">
        <x:v>UCF101; HMDB51; Kinetics-400; Oops</x:v>
      </x:c>
      <x:c r="G244" s="34" t="str">
        <x:v>UCF101; Kinetics-400; Oops; HMDB51</x:v>
      </x:c>
      <x:c r="H244" s="36" t="str">
        <x:v>2020</x:v>
      </x:c>
      <x:c r="I244" s="34" t="str">
        <x:v>ECCV 2020</x:v>
      </x:c>
      <x:c r="J244" s="38" t="str">
        <x:v>No</x:v>
      </x:c>
      <x:c r="K244" s="38" t="str">
        <x:v>peer_reviewed</x:v>
      </x:c>
      <x:c r="L244" s="34" t="str">
        <x:v>10.1007/978-3-030-58580-8_19</x:v>
      </x:c>
      <x:c r="M244" s="34" t="str">
        <x:v>2008.01065</x:v>
      </x:c>
      <x:c r="N244" s="34" t="str">
        <x:v>https://www.robots.ox.ac.uk/~vgg/research/DPC/</x:v>
      </x:c>
      <x:c r="O244" s="34" t="str">
        <x:v>https://github.com/TengdaHan/MemDPC</x:v>
      </x:c>
      <x:c r="P244" s="34" t="str">
        <x:v>Oops is used for additional self-supervised adaptation and downstream evaluation in the failure-recognition experiment.</x:v>
      </x:c>
      <x:c r="Q244" s="38" t="str">
        <x:v>2026-08-11</x:v>
      </x:c>
    </x:row>
    <x:row r="245" ht="44" customHeight="1">
      <x:c r="A245" s="34" t="str">
        <x:v>Pretext-Contrastive Learning: Toward Good Practices in Self-Supervised Video Representation Learning</x:v>
      </x:c>
      <x:c r="B245" s="34" t="str">
        <x:v>Li Tao, Xueting Wang, Toshihiko Yamasaki</x:v>
      </x:c>
      <x:c r="C245" s="34" t="str">
        <x:v>Pretext-Contrastive Learning (PCL)</x:v>
      </x:c>
      <x:c r="D245" s="34" t="str">
        <x:v>Other / Hybrid</x:v>
      </x:c>
      <x:c r="E245" s="34" t="str">
        <x:v>UCF101; Kinetics-400</x:v>
      </x:c>
      <x:c r="F245" s="34" t="str">
        <x:v>UCF101; HMDB51</x:v>
      </x:c>
      <x:c r="G245" s="34" t="str">
        <x:v>UCF101; Kinetics-400; HMDB51</x:v>
      </x:c>
      <x:c r="H245" s="36" t="str">
        <x:v>2020</x:v>
      </x:c>
      <x:c r="I245" s="34" t="str">
        <x:v>arXiv / Preprint</x:v>
      </x:c>
      <x:c r="J245" s="38" t="str">
        <x:v>No</x:v>
      </x:c>
      <x:c r="K245" s="38" t="str">
        <x:v>preprint</x:v>
      </x:c>
      <x:c r="L245" s="34" t="str"/>
      <x:c r="M245" s="34" t="str">
        <x:v>2010.15464</x:v>
      </x:c>
      <x:c r="N245" s="34" t="str">
        <x:v>https://arxiv.org/abs/2010.15464</x:v>
      </x:c>
      <x:c r="O245" s="34" t="str">
        <x:v>https://github.com/BestJuly/Pretext-Contrastive-Learning</x:v>
      </x:c>
      <x:c r="P245" s="34" t="str"/>
      <x:c r="Q245" s="38" t="str">
        <x:v>2026-08-11</x:v>
      </x:c>
    </x:row>
    <x:row r="246" ht="44" customHeight="1">
      <x:c r="A246" s="34" t="str">
        <x:v>Self-supervised co-training for video representation learning</x:v>
      </x:c>
      <x:c r="B246" s="34" t="str">
        <x:v>Tengda Han, Weidi Xie, Andrew Zisserman</x:v>
      </x:c>
      <x:c r="C246" s="34" t="str">
        <x:v>CoCLR</x:v>
      </x:c>
      <x:c r="D246" s="34" t="str">
        <x:v>Contrastive</x:v>
      </x:c>
      <x:c r="E246" s="34" t="str">
        <x:v>UCF101; Kinetics-400</x:v>
      </x:c>
      <x:c r="F246" s="34" t="str">
        <x:v>UCF101; HMDB51; Kinetics-400</x:v>
      </x:c>
      <x:c r="G246" s="34" t="str">
        <x:v>UCF101; Kinetics-400; HMDB51</x:v>
      </x:c>
      <x:c r="H246" s="36" t="str">
        <x:v>2020</x:v>
      </x:c>
      <x:c r="I246" s="34" t="str">
        <x:v>NeurIPS 2020</x:v>
      </x:c>
      <x:c r="J246" s="38" t="str">
        <x:v>Yes</x:v>
      </x:c>
      <x:c r="K246" s="38" t="str">
        <x:v>peer_reviewed</x:v>
      </x:c>
      <x:c r="L246" s="34" t="str"/>
      <x:c r="M246" s="34" t="str">
        <x:v>2010.09709</x:v>
      </x:c>
      <x:c r="N246" s="34" t="str">
        <x:v>https://proceedings.neurips.cc/paper/2020/hash/3def184ad8f4755ff269862ea77393dd-Abstract.html</x:v>
      </x:c>
      <x:c r="O246" s="34" t="str">
        <x:v>https://github.com/TengdaHan/CoCLR</x:v>
      </x:c>
      <x:c r="P246" s="34" t="str"/>
      <x:c r="Q246" s="38" t="str">
        <x:v>2026-08-11</x:v>
      </x:c>
    </x:row>
    <x:row r="247" ht="44" customHeight="1">
      <x:c r="A247" s="34" t="str">
        <x:v>Self-supervised learning by cross-modal audio-video clustering</x:v>
      </x:c>
      <x:c r="B247" s="34" t="str">
        <x:v>Humam Alwassel, Dhruv Mahajan, Bruno Korbar ,Lorenzo Torresani, Bernard Ghanem, Du Tran</x:v>
      </x:c>
      <x:c r="C247" s="34" t="str">
        <x:v>Cross-Modal Deep Clustering (XDC)</x:v>
      </x:c>
      <x:c r="D247" s="34" t="str">
        <x:v>Multimodal / Audio-Visual</x:v>
      </x:c>
      <x:c r="E247" s="34" t="str">
        <x:v>Kinetics-400; AudioSet; AudioSet-240K; Instagram-65M</x:v>
      </x:c>
      <x:c r="F247" s="34" t="str">
        <x:v>UCF101; HMDB51; ESC-50</x:v>
      </x:c>
      <x:c r="G247" s="34" t="str">
        <x:v>Kinetics-400; AudioSet; AudioSet-240K; Instagram-65M; UCF101; HMDB51; ESC-50</x:v>
      </x:c>
      <x:c r="H247" s="36" t="str">
        <x:v>2020</x:v>
      </x:c>
      <x:c r="I247" s="34" t="str">
        <x:v>NeurIPS 2020</x:v>
      </x:c>
      <x:c r="J247" s="38" t="str">
        <x:v>Yes</x:v>
      </x:c>
      <x:c r="K247" s="38" t="str">
        <x:v>peer_reviewed</x:v>
      </x:c>
      <x:c r="L247" s="34" t="str"/>
      <x:c r="M247" s="34" t="str">
        <x:v>1911.12667</x:v>
      </x:c>
      <x:c r="N247" s="34" t="str">
        <x:v>https://proceedings.neurips.cc/paper/2020/hash/6f2268bd1d3d3ebaabb04d6b5d099425-Abstract.html</x:v>
      </x:c>
      <x:c r="O247" s="34" t="str">
        <x:v>https://github.com/HumamAlwassel/XDC</x:v>
      </x:c>
      <x:c r="P247" s="34" t="str">
        <x:v>The paper reports AudioSet-240K and Instagram variants, including random and Kinetics-filtered Instagram subsets.</x:v>
      </x:c>
      <x:c r="Q247" s="38" t="str">
        <x:v>2026-08-11</x:v>
      </x:c>
    </x:row>
    <x:row r="248" ht="44" customHeight="1">
      <x:c r="A248" s="34" t="str">
        <x:v>Self-supervised learning of audio-visual objects from video</x:v>
      </x:c>
      <x:c r="B248" s="34" t="str">
        <x:v>Afouras, T., Owens, A., Chung, J. S., &amp; Zisserman, A.</x:v>
      </x:c>
      <x:c r="C248" s="34" t="str">
        <x:v>Audio-Visual Object Discovery</x:v>
      </x:c>
      <x:c r="D248" s="34" t="str">
        <x:v>Multimodal / Audio-Visual</x:v>
      </x:c>
      <x:c r="E248" s="34" t="str">
        <x:v>LRS2; The Simpsons raw footage; Sesame Street raw footage</x:v>
      </x:c>
      <x:c r="F248" s="34" t="str">
        <x:v>LRS2; LRS3; Columbia Active Speaker; The Simpsons; Sesame Street</x:v>
      </x:c>
      <x:c r="G248" s="34" t="str">
        <x:v>LRS2; The Simpsons raw footage; Sesame Street raw footage; LRS3; Columbia Active Speaker; The Simpsons; Sesame Street</x:v>
      </x:c>
      <x:c r="H248" s="36" t="str">
        <x:v>2020</x:v>
      </x:c>
      <x:c r="I248" s="34" t="str">
        <x:v>ECCV 2020</x:v>
      </x:c>
      <x:c r="J248" s="38" t="str">
        <x:v>No</x:v>
      </x:c>
      <x:c r="K248" s="38" t="str">
        <x:v>peer_reviewed</x:v>
      </x:c>
      <x:c r="L248" s="34" t="str">
        <x:v>10.1007/978-3-030-58523-5_13</x:v>
      </x:c>
      <x:c r="M248" s="34" t="str">
        <x:v>2008.04237</x:v>
      </x:c>
      <x:c r="N248" s="34" t="str">
        <x:v>https://doi.org/10.1007/978-3-030-58523-5_13</x:v>
      </x:c>
      <x:c r="O248" s="34" t="str"/>
      <x:c r="P248" s="34" t="str">
        <x:v>The Simpsons and Sesame Street footage are private or program-specific collections rather than released benchmarks.</x:v>
      </x:c>
      <x:c r="Q248" s="38" t="str">
        <x:v>2026-08-11</x:v>
      </x:c>
    </x:row>
    <x:row r="249" ht="44" customHeight="1">
      <x:c r="A249" s="34" t="str">
        <x:v>Self-Supervised Learning to Detect Key Frames in Videos</x:v>
      </x:c>
      <x:c r="B249" s="34" t="str">
        <x:v>Xiang Yan,Syed Zulqarnain Gilani,Mingtao Feng ,Liang Zhang,Hanlin Qin and Ajmal Mian</x:v>
      </x:c>
      <x:c r="C249" s="34" t="str">
        <x:v>Automatic Key-Frame Detection</x:v>
      </x:c>
      <x:c r="D249" s="34" t="str">
        <x:v>Other / Hybrid</x:v>
      </x:c>
      <x:c r="E249" s="34" t="str">
        <x:v>UCF101; ImageNet-1K</x:v>
      </x:c>
      <x:c r="F249" s="34" t="str">
        <x:v>UCF101; VSUMM</x:v>
      </x:c>
      <x:c r="G249" s="34" t="str">
        <x:v>UCF101; ImageNet-1K; VSUMM</x:v>
      </x:c>
      <x:c r="H249" s="36" t="str">
        <x:v>2020</x:v>
      </x:c>
      <x:c r="I249" s="34" t="str">
        <x:v>Sensors 2020</x:v>
      </x:c>
      <x:c r="J249" s="38" t="str">
        <x:v>No</x:v>
      </x:c>
      <x:c r="K249" s="38" t="str">
        <x:v>peer_reviewed</x:v>
      </x:c>
      <x:c r="L249" s="34" t="str">
        <x:v>10.3390/s20236941</x:v>
      </x:c>
      <x:c r="M249" s="34" t="str"/>
      <x:c r="N249" s="34" t="str">
        <x:v>https://www.mdpi.com/1424-8220/20/23/6941</x:v>
      </x:c>
      <x:c r="O249" s="34" t="str"/>
      <x:c r="P249" s="34" t="str">
        <x:v>ImageNet-1K is supervised VGG-16 initialization; UCF101 supplies the unlabeled key-frame training videos.</x:v>
      </x:c>
      <x:c r="Q249" s="38" t="str">
        <x:v>2026-08-11</x:v>
      </x:c>
    </x:row>
    <x:row r="250" ht="44" customHeight="1">
      <x:c r="A250" s="34" t="str">
        <x:v>Self-supervised motion representation via scattering local motion cues</x:v>
      </x:c>
      <x:c r="B250" s="34" t="str">
        <x:v>Yuan Tian, Zhaohui Che, Wenbo Bao, Guangtao Zhai, Zhiyong Gao1</x:v>
      </x:c>
      <x:c r="C250" s="34" t="str">
        <x:v>Scattering Local Motion Cues</x:v>
      </x:c>
      <x:c r="D250" s="34" t="str">
        <x:v>Pretext / Predictive</x:v>
      </x:c>
      <x:c r="E250" s="34" t="str">
        <x:v>UCF101; Kinetics-400</x:v>
      </x:c>
      <x:c r="F250" s="34" t="str">
        <x:v>UCF101; UCF-Flow; UCF-Pred; Kinetics-400; Kinetics-600; HMDB51</x:v>
      </x:c>
      <x:c r="G250" s="34" t="str">
        <x:v>UCF101; Kinetics-400; UCF-Flow; UCF-Pred; Kinetics-600; HMDB51</x:v>
      </x:c>
      <x:c r="H250" s="36" t="str">
        <x:v>2020</x:v>
      </x:c>
      <x:c r="I250" s="34" t="str">
        <x:v>ECCV 2020</x:v>
      </x:c>
      <x:c r="J250" s="38" t="str">
        <x:v>No</x:v>
      </x:c>
      <x:c r="K250" s="38" t="str">
        <x:v>peer_reviewed</x:v>
      </x:c>
      <x:c r="L250" s="34" t="str">
        <x:v>10.1007/978-3-030-58568-6_5</x:v>
      </x:c>
      <x:c r="M250" s="34" t="str"/>
      <x:c r="N250" s="34" t="str">
        <x:v>https://www.ecva.net/papers/eccv_2020/papers_ECCV/papers/123590069.pdf</x:v>
      </x:c>
      <x:c r="O250" s="34" t="str"/>
      <x:c r="P250" s="34" t="str"/>
      <x:c r="Q250" s="38" t="str">
        <x:v>2026-08-11</x:v>
      </x:c>
    </x:row>
    <x:row r="251" ht="44" customHeight="1">
      <x:c r="A251" s="34" t="str">
        <x:v>Self-supervised multimodal versatile networks</x:v>
      </x:c>
      <x:c r="B251" s="34" t="str">
        <x:v>Jean-Baptiste Alayrac, Adrià Recasens, Rosalia Schneider, Relja Arandjelovic, Jason Ramapuram, Jeffrey De Fauw, Lucas Smaira Sander Dieleman, Andrew Zisserman</x:v>
      </x:c>
      <x:c r="C251" s="34" t="str">
        <x:v>Multimodal Versatile Networks (MMV)</x:v>
      </x:c>
      <x:c r="D251" s="34" t="str">
        <x:v>Multimodal / Audio-Visual</x:v>
      </x:c>
      <x:c r="E251" s="34" t="str">
        <x:v>HowTo100M; AudioSet</x:v>
      </x:c>
      <x:c r="F251" s="34" t="str">
        <x:v>UCF101; HMDB51; Kinetics-600; ESC-50; AudioSet; MSR-VTT; YouCook2; PASCAL VOC 2007; ImageNet-1K</x:v>
      </x:c>
      <x:c r="G251" s="34" t="str">
        <x:v>HowTo100M; AudioSet; UCF101; HMDB51; Kinetics-600; ESC-50; MSR-VTT; YouCook2; PASCAL VOC 2007; ImageNet-1K</x:v>
      </x:c>
      <x:c r="H251" s="36" t="str">
        <x:v>2020</x:v>
      </x:c>
      <x:c r="I251" s="34" t="str">
        <x:v>NeurIPS 2020</x:v>
      </x:c>
      <x:c r="J251" s="38" t="str">
        <x:v>Yes</x:v>
      </x:c>
      <x:c r="K251" s="38" t="str">
        <x:v>peer_reviewed</x:v>
      </x:c>
      <x:c r="L251" s="34" t="str"/>
      <x:c r="M251" s="34" t="str">
        <x:v>2006.16228</x:v>
      </x:c>
      <x:c r="N251" s="34" t="str">
        <x:v>https://proceedings.neurips.cc/paper/2020/hash/0060ef47b12160b9198302ebdb144dcf-Abstract.html</x:v>
      </x:c>
      <x:c r="O251" s="34" t="str"/>
      <x:c r="P251" s="34" t="str"/>
      <x:c r="Q251" s="38" t="str">
        <x:v>2026-08-11</x:v>
      </x:c>
    </x:row>
    <x:row r="252" ht="44" customHeight="1">
      <x:c r="A252" s="34" t="str">
        <x:v>Self-supervised temporal discriminative learning for video representation learning</x:v>
      </x:c>
      <x:c r="B252" s="34" t="str">
        <x:v>Jinpeng Wang, Yiqi Lin, Andy J. Ma,Pong C. Yuen</x:v>
      </x:c>
      <x:c r="C252" s="34" t="str">
        <x:v>Video-Based Temporal-Discriminative Learning (VTDL)</x:v>
      </x:c>
      <x:c r="D252" s="34" t="str">
        <x:v>Contrastive</x:v>
      </x:c>
      <x:c r="E252" s="34" t="str">
        <x:v>UCF101; HMDB51; Kinetics-400</x:v>
      </x:c>
      <x:c r="F252" s="34" t="str">
        <x:v>UCF101; HMDB51</x:v>
      </x:c>
      <x:c r="G252" s="34" t="str">
        <x:v>UCF101; HMDB51; Kinetics-400</x:v>
      </x:c>
      <x:c r="H252" s="36" t="str">
        <x:v>2020</x:v>
      </x:c>
      <x:c r="I252" s="34" t="str">
        <x:v>arXiv / Preprint</x:v>
      </x:c>
      <x:c r="J252" s="38" t="str">
        <x:v>No</x:v>
      </x:c>
      <x:c r="K252" s="38" t="str">
        <x:v>preprint</x:v>
      </x:c>
      <x:c r="L252" s="34" t="str"/>
      <x:c r="M252" s="34" t="str">
        <x:v>2008.02129</x:v>
      </x:c>
      <x:c r="N252" s="34" t="str">
        <x:v>https://arxiv.org/abs/2008.02129</x:v>
      </x:c>
      <x:c r="O252" s="34" t="str">
        <x:v>https://github.com/FingerRec/Self-Supervised-Temporal-Discriminative-Representation-Learning-for-Video-Action-Recognition</x:v>
      </x:c>
      <x:c r="P252" s="34" t="str"/>
      <x:c r="Q252" s="38" t="str">
        <x:v>2026-08-11</x:v>
      </x:c>
    </x:row>
    <x:row r="253" ht="44" customHeight="1">
      <x:c r="A253" s="34" t="str">
        <x:v>Self-supervised video representation learning by maximizing mutual information</x:v>
      </x:c>
      <x:c r="B253" s="34" t="str">
        <x:v>Fei Xue, Hongbing Ji, Wenbo Zhang, Yi Cao</x:v>
      </x:c>
      <x:c r="C253" s="34" t="str">
        <x:v>Deep Video InfoMax (DVIM)</x:v>
      </x:c>
      <x:c r="D253" s="34" t="str">
        <x:v>Contrastive</x:v>
      </x:c>
      <x:c r="E253" s="34" t="str">
        <x:v>UCF101</x:v>
      </x:c>
      <x:c r="F253" s="34" t="str">
        <x:v>UCF101; HMDB51; ASLAN</x:v>
      </x:c>
      <x:c r="G253" s="34" t="str">
        <x:v>UCF101; HMDB51; ASLAN</x:v>
      </x:c>
      <x:c r="H253" s="36" t="str">
        <x:v>2020</x:v>
      </x:c>
      <x:c r="I253" s="34" t="str">
        <x:v>Signal Processing: Image Communication 2020</x:v>
      </x:c>
      <x:c r="J253" s="38" t="str">
        <x:v>No</x:v>
      </x:c>
      <x:c r="K253" s="38" t="str">
        <x:v>peer_reviewed</x:v>
      </x:c>
      <x:c r="L253" s="34" t="str">
        <x:v>10.1016/j.image.2020.115967</x:v>
      </x:c>
      <x:c r="M253" s="34" t="str"/>
      <x:c r="N253" s="34" t="str">
        <x:v>https://www.sciencedirect.com/science/article/pii/S0923596520301417</x:v>
      </x:c>
      <x:c r="O253" s="34" t="str"/>
      <x:c r="P253" s="34" t="str"/>
      <x:c r="Q253" s="38" t="str">
        <x:v>2026-08-11</x:v>
      </x:c>
    </x:row>
    <x:row r="254" ht="44" customHeight="1">
      <x:c r="A254" s="34" t="str">
        <x:v>Self-supervised video representation learning by pace prediction</x:v>
      </x:c>
      <x:c r="B254" s="34" t="str">
        <x:v>Jiangliu Wang, Jianbo Jiao, Yun-Hui Liu</x:v>
      </x:c>
      <x:c r="C254" s="34" t="str">
        <x:v>Pace Prediction</x:v>
      </x:c>
      <x:c r="D254" s="34" t="str">
        <x:v>Other / Hybrid</x:v>
      </x:c>
      <x:c r="E254" s="34" t="str">
        <x:v>UCF101; Kinetics-400</x:v>
      </x:c>
      <x:c r="F254" s="34" t="str">
        <x:v>UCF101; HMDB51</x:v>
      </x:c>
      <x:c r="G254" s="34" t="str">
        <x:v>UCF101; Kinetics-400; HMDB51</x:v>
      </x:c>
      <x:c r="H254" s="36" t="str">
        <x:v>2020</x:v>
      </x:c>
      <x:c r="I254" s="34" t="str">
        <x:v>ECCV 2020</x:v>
      </x:c>
      <x:c r="J254" s="38" t="str">
        <x:v>No</x:v>
      </x:c>
      <x:c r="K254" s="38" t="str">
        <x:v>peer_reviewed</x:v>
      </x:c>
      <x:c r="L254" s="34" t="str">
        <x:v>10.1007/978-3-030-58568-6_31</x:v>
      </x:c>
      <x:c r="M254" s="34" t="str">
        <x:v>2008.05861</x:v>
      </x:c>
      <x:c r="N254" s="34" t="str">
        <x:v>https://www.robots.ox.ac.uk/~vgg/publications/2020/Wang20/</x:v>
      </x:c>
      <x:c r="O254" s="34" t="str">
        <x:v>https://github.com/laura-wang/video-pace</x:v>
      </x:c>
      <x:c r="P254" s="34" t="str"/>
      <x:c r="Q254" s="38" t="str">
        <x:v>2026-08-11</x:v>
      </x:c>
    </x:row>
    <x:row r="255" ht="44" customHeight="1">
      <x:c r="A255" s="34" t="str">
        <x:v>Self-supervised video representation learning using inter-intra contrastive framework</x:v>
      </x:c>
      <x:c r="B255" s="34" t="str">
        <x:v>Li Tao, Xueting Wang, Toshihiko Yamasaki</x:v>
      </x:c>
      <x:c r="C255" s="34" t="str">
        <x:v>Inter-Intra Contrastive Learning (IIC)</x:v>
      </x:c>
      <x:c r="D255" s="34" t="str">
        <x:v>Contrastive</x:v>
      </x:c>
      <x:c r="E255" s="34" t="str">
        <x:v>UCF101</x:v>
      </x:c>
      <x:c r="F255" s="34" t="str">
        <x:v>UCF101; HMDB51</x:v>
      </x:c>
      <x:c r="G255" s="34" t="str">
        <x:v>UCF101; HMDB51</x:v>
      </x:c>
      <x:c r="H255" s="36" t="str">
        <x:v>2020</x:v>
      </x:c>
      <x:c r="I255" s="34" t="str">
        <x:v>ACM Multimedia 2020</x:v>
      </x:c>
      <x:c r="J255" s="38" t="str">
        <x:v>No</x:v>
      </x:c>
      <x:c r="K255" s="38" t="str">
        <x:v>peer_reviewed</x:v>
      </x:c>
      <x:c r="L255" s="34" t="str">
        <x:v>10.1145/3394171.3413694</x:v>
      </x:c>
      <x:c r="M255" s="34" t="str">
        <x:v>2008.02531</x:v>
      </x:c>
      <x:c r="N255" s="34" t="str">
        <x:v>https://doi.org/10.1145/3394171.3413694</x:v>
      </x:c>
      <x:c r="O255" s="34" t="str">
        <x:v>https://github.com/BestJuly/IIC</x:v>
      </x:c>
      <x:c r="P255" s="34" t="str"/>
      <x:c r="Q255" s="38" t="str">
        <x:v>2026-08-11</x:v>
      </x:c>
    </x:row>
    <x:row r="256" ht="44" customHeight="1">
      <x:c r="A256" s="34" t="str">
        <x:v>Speech2Action: Cross-Modal Supervision for Action Recognition</x:v>
      </x:c>
      <x:c r="B256" s="34" t="str">
        <x:v>Nagrani, A., Sun, C., Ross, D., Sukthankar, R., Schmid, C., &amp; Zisserman, A.</x:v>
      </x:c>
      <x:c r="C256" s="34" t="str">
        <x:v>Speech2Action</x:v>
      </x:c>
      <x:c r="D256" s="34" t="str">
        <x:v>Multimodal / Video-Language</x:v>
      </x:c>
      <x:c r="E256" s="34" t="str">
        <x:v>IMSDb Screenplays; Speech2Action-mined Movies</x:v>
      </x:c>
      <x:c r="F256" s="34" t="str">
        <x:v>HMDB51; AVA; UCF101</x:v>
      </x:c>
      <x:c r="G256" s="34" t="str">
        <x:v>IMSDb Screenplays; Speech2Action-mined Movies; HMDB51; AVA; UCF101</x:v>
      </x:c>
      <x:c r="H256" s="36" t="str">
        <x:v>2020</x:v>
      </x:c>
      <x:c r="I256" s="34" t="str">
        <x:v>CVPR 2020</x:v>
      </x:c>
      <x:c r="J256" s="38" t="str">
        <x:v>No</x:v>
      </x:c>
      <x:c r="K256" s="38" t="str">
        <x:v>peer_reviewed</x:v>
      </x:c>
      <x:c r="L256" s="34" t="str"/>
      <x:c r="M256" s="34" t="str"/>
      <x:c r="N256" s="34" t="str">
        <x:v>https://openaccess.thecvf.com/content_CVPR_2020/html/Nagrani_Speech2Action_Cross-Modal_Supervision_for_Action_Recognition_CVPR_2020_paper.html</x:v>
      </x:c>
      <x:c r="O256" s="34" t="str"/>
      <x:c r="P256" s="34" t="str">
        <x:v>The mined pretraining collection contains clips drawn from a large private movie and speech corpus; IMSDb provides screenplay text for the speech-action model.</x:v>
      </x:c>
      <x:c r="Q256" s="38" t="str">
        <x:v>2026-08-11</x:v>
      </x:c>
    </x:row>
    <x:row r="257" ht="44" customHeight="1">
      <x:c r="A257" s="34" t="str">
        <x:v>SpeedNet: Learning the Speediness in Videos</x:v>
      </x:c>
      <x:c r="B257" s="34" t="str">
        <x:v>Sagie Benaim, Ariel Ephrat, Oran Lang, Inbar Mosseri, William T. Freeman, Michael Rubinstein, Michal Irani, Tali Dekel</x:v>
      </x:c>
      <x:c r="C257" s="34" t="str">
        <x:v>SpeedNet</x:v>
      </x:c>
      <x:c r="D257" s="34" t="str">
        <x:v>Pretext / Predictive</x:v>
      </x:c>
      <x:c r="E257" s="34" t="str">
        <x:v>Kinetics-400</x:v>
      </x:c>
      <x:c r="F257" s="34" t="str">
        <x:v>Kinetics-400; Need for Speed; UCF101; HMDB51</x:v>
      </x:c>
      <x:c r="G257" s="34" t="str">
        <x:v>Kinetics-400; Need for Speed; UCF101; HMDB51</x:v>
      </x:c>
      <x:c r="H257" s="36" t="str">
        <x:v>2020</x:v>
      </x:c>
      <x:c r="I257" s="34" t="str">
        <x:v>CVPR 2020</x:v>
      </x:c>
      <x:c r="J257" s="38" t="str">
        <x:v>No</x:v>
      </x:c>
      <x:c r="K257" s="38" t="str">
        <x:v>peer_reviewed</x:v>
      </x:c>
      <x:c r="L257" s="34" t="str"/>
      <x:c r="M257" s="34" t="str">
        <x:v>2004.06130</x:v>
      </x:c>
      <x:c r="N257" s="34" t="str">
        <x:v>https://openaccess.thecvf.com/content_CVPR_2020/html/Benaim_SpeedNet_Learning_the_Speediness_in_Videos_CVPR_2020_paper.html</x:v>
      </x:c>
      <x:c r="O257" s="34" t="str">
        <x:v>http://speednet-cvpr20.github.io/</x:v>
      </x:c>
      <x:c r="P257" s="34" t="str"/>
      <x:c r="Q257" s="38" t="str">
        <x:v>2026-08-11</x:v>
      </x:c>
    </x:row>
    <x:row r="258" ht="44" customHeight="1">
      <x:c r="A258" s="34" t="str">
        <x:v>UniVL: A Unified Video and Language Pre-Training Model for Multimodal Understanding and Generation</x:v>
      </x:c>
      <x:c r="B258" s="34" t="str">
        <x:v>Luo, H., Ji, L., Shi, B., Huang, H., Duan, N., Li, T., ... &amp; Zhou, M.</x:v>
      </x:c>
      <x:c r="C258" s="34" t="str">
        <x:v>UniVL</x:v>
      </x:c>
      <x:c r="D258" s="34" t="str">
        <x:v>Multimodal / Video-Language</x:v>
      </x:c>
      <x:c r="E258" s="34" t="str">
        <x:v>HowTo100M</x:v>
      </x:c>
      <x:c r="F258" s="34" t="str">
        <x:v>YouCook2; MSR-VTT; COIN; CrossTask; CMU-MOSI</x:v>
      </x:c>
      <x:c r="G258" s="34" t="str">
        <x:v>HowTo100M; YouCook2; MSR-VTT; COIN; CrossTask; CMU-MOSI</x:v>
      </x:c>
      <x:c r="H258" s="36" t="str">
        <x:v>2020</x:v>
      </x:c>
      <x:c r="I258" s="34" t="str">
        <x:v>arXiv / Preprint</x:v>
      </x:c>
      <x:c r="J258" s="38" t="str">
        <x:v>No</x:v>
      </x:c>
      <x:c r="K258" s="38" t="str">
        <x:v>preprint</x:v>
      </x:c>
      <x:c r="L258" s="34" t="str"/>
      <x:c r="M258" s="34" t="str">
        <x:v>2002.06353</x:v>
      </x:c>
      <x:c r="N258" s="34" t="str">
        <x:v>https://arxiv.org/abs/2002.06353</x:v>
      </x:c>
      <x:c r="O258" s="34" t="str"/>
      <x:c r="P258" s="34" t="str"/>
      <x:c r="Q258" s="38" t="str">
        <x:v>2026-08-11</x:v>
      </x:c>
    </x:row>
    <x:row r="259" ht="44" customHeight="1">
      <x:c r="A259" s="34" t="str">
        <x:v>Unsupervised learning from video with deep neural embeddings</x:v>
      </x:c>
      <x:c r="B259" s="34" t="str">
        <x:v>Chengxu Zhuang, Tianwei She, Alex Andonian, Max Sobol Mark, Daniel Yamins</x:v>
      </x:c>
      <x:c r="C259" s="34" t="str">
        <x:v>Video Instance Embedding (VIE)</x:v>
      </x:c>
      <x:c r="D259" s="34" t="str">
        <x:v>Contrastive</x:v>
      </x:c>
      <x:c r="E259" s="34" t="str">
        <x:v>Kinetics-400</x:v>
      </x:c>
      <x:c r="F259" s="34" t="str">
        <x:v>Kinetics-400; ImageNet-1K; UCF101; HMDB51</x:v>
      </x:c>
      <x:c r="G259" s="34" t="str">
        <x:v>Kinetics-400; ImageNet-1K; UCF101; HMDB51</x:v>
      </x:c>
      <x:c r="H259" s="36" t="str">
        <x:v>2020</x:v>
      </x:c>
      <x:c r="I259" s="34" t="str">
        <x:v>CVPR 2020</x:v>
      </x:c>
      <x:c r="J259" s="38" t="str">
        <x:v>No</x:v>
      </x:c>
      <x:c r="K259" s="38" t="str">
        <x:v>peer_reviewed</x:v>
      </x:c>
      <x:c r="L259" s="34" t="str"/>
      <x:c r="M259" s="34" t="str">
        <x:v>1905.11954</x:v>
      </x:c>
      <x:c r="N259" s="34" t="str">
        <x:v>https://openaccess.thecvf.com/content_CVPR_2020/html/Zhuang_Unsupervised_Learning_From_Video_With_Deep_Neural_Embeddings_CVPR_2020_paper.html</x:v>
      </x:c>
      <x:c r="O259" s="34" t="str">
        <x:v>https://github.com/neuroailab/VIE</x:v>
      </x:c>
      <x:c r="P259" s="34" t="str"/>
      <x:c r="Q259" s="38" t="str">
        <x:v>2026-08-11</x:v>
      </x:c>
    </x:row>
    <x:row r="260" ht="44" customHeight="1">
      <x:c r="A260" s="34" t="str">
        <x:v>Unsupervised learning of video representations via dense trajectory clustering</x:v>
      </x:c>
      <x:c r="B260" s="34" t="str">
        <x:v>Pavel Tokmakov, Martial Hebert, Cordelia Schmid</x:v>
      </x:c>
      <x:c r="C260" s="34" t="str">
        <x:v>IDT-Guided Video Local Aggregation</x:v>
      </x:c>
      <x:c r="D260" s="34" t="str">
        <x:v>Clustering / Prototypes</x:v>
      </x:c>
      <x:c r="E260" s="34" t="str">
        <x:v>Kinetics-400</x:v>
      </x:c>
      <x:c r="F260" s="34" t="str">
        <x:v>UCF101; HMDB51</x:v>
      </x:c>
      <x:c r="G260" s="34" t="str">
        <x:v>Kinetics-400; UCF101; HMDB51</x:v>
      </x:c>
      <x:c r="H260" s="36" t="str">
        <x:v>2020</x:v>
      </x:c>
      <x:c r="I260" s="34" t="str">
        <x:v>ECCV Workshops 2020</x:v>
      </x:c>
      <x:c r="J260" s="38" t="str">
        <x:v>No</x:v>
      </x:c>
      <x:c r="K260" s="38" t="str">
        <x:v>peer_reviewed</x:v>
      </x:c>
      <x:c r="L260" s="34" t="str">
        <x:v>10.1007/978-3-030-66096-3_28</x:v>
      </x:c>
      <x:c r="M260" s="34" t="str">
        <x:v>2006.15731</x:v>
      </x:c>
      <x:c r="N260" s="34" t="str">
        <x:v>https://doi.org/10.1007/978-3-030-66096-3_28</x:v>
      </x:c>
      <x:c r="O260" s="34" t="str">
        <x:v>https://github.com/pvtokmakov/video_cluster</x:v>
      </x:c>
      <x:c r="P260" s="34" t="str">
        <x:v>The workshop proceedings appeared online in 2021, but the archival event is ECCV Workshops 2020.</x:v>
      </x:c>
      <x:c r="Q260" s="38" t="str">
        <x:v>2026-08-11</x:v>
      </x:c>
    </x:row>
    <x:row r="261" ht="44" customHeight="1">
      <x:c r="A261" s="34" t="str">
        <x:v>Video cloze procedure for self-supervised spatio-temporal learning</x:v>
      </x:c>
      <x:c r="B261" s="34" t="str">
        <x:v>Dezhao Luo, Chang Liu, Yu Zhou, Dongbao Yang, Can Ma, Qixiang Ye, Weiping Wang</x:v>
      </x:c>
      <x:c r="C261" s="34" t="str">
        <x:v>Video Cloze Procedure (VCP)</x:v>
      </x:c>
      <x:c r="D261" s="34" t="str">
        <x:v>Pretext / Predictive</x:v>
      </x:c>
      <x:c r="E261" s="34" t="str">
        <x:v>UCF101; HMDB51</x:v>
      </x:c>
      <x:c r="F261" s="34" t="str">
        <x:v>UCF101; HMDB51</x:v>
      </x:c>
      <x:c r="G261" s="34" t="str">
        <x:v>UCF101; HMDB51</x:v>
      </x:c>
      <x:c r="H261" s="36" t="str">
        <x:v>2020</x:v>
      </x:c>
      <x:c r="I261" s="34" t="str">
        <x:v>AAAI 2020</x:v>
      </x:c>
      <x:c r="J261" s="38" t="str">
        <x:v>No</x:v>
      </x:c>
      <x:c r="K261" s="38" t="str">
        <x:v>peer_reviewed</x:v>
      </x:c>
      <x:c r="L261" s="34" t="str">
        <x:v>10.1609/aaai.v34i07.6840</x:v>
      </x:c>
      <x:c r="M261" s="34" t="str">
        <x:v>2001.00294</x:v>
      </x:c>
      <x:c r="N261" s="34" t="str">
        <x:v>https://ojs.aaai.org/index.php/AAAI/article/view/6840</x:v>
      </x:c>
      <x:c r="O261" s="34" t="str">
        <x:v>https://github.com/BestJuly/VCP</x:v>
      </x:c>
      <x:c r="P261" s="34" t="str"/>
      <x:c r="Q261" s="38" t="str">
        <x:v>2026-08-11</x:v>
      </x:c>
    </x:row>
    <x:row r="262" ht="44" customHeight="1">
      <x:c r="A262" s="34" t="str">
        <x:v>Video playback rate perception for self-supervised spatio-temporal representation learning</x:v>
      </x:c>
      <x:c r="B262" s="34" t="str">
        <x:v>Yuan Yao, Chang Liu, Dezhao Luo, Yu Zhou, Qixiang Ye</x:v>
      </x:c>
      <x:c r="C262" s="34" t="str">
        <x:v>Playback Rate Perception (PRP)</x:v>
      </x:c>
      <x:c r="D262" s="34" t="str">
        <x:v>Other / Hybrid</x:v>
      </x:c>
      <x:c r="E262" s="34" t="str">
        <x:v>UCF101; HMDB51</x:v>
      </x:c>
      <x:c r="F262" s="34" t="str">
        <x:v>UCF101; HMDB51</x:v>
      </x:c>
      <x:c r="G262" s="34" t="str">
        <x:v>UCF101; HMDB51</x:v>
      </x:c>
      <x:c r="H262" s="36" t="str">
        <x:v>2020</x:v>
      </x:c>
      <x:c r="I262" s="34" t="str">
        <x:v>CVPR 2020</x:v>
      </x:c>
      <x:c r="J262" s="38" t="str">
        <x:v>No</x:v>
      </x:c>
      <x:c r="K262" s="38" t="str">
        <x:v>peer_reviewed</x:v>
      </x:c>
      <x:c r="L262" s="34" t="str">
        <x:v>10.1109/CVPR42600.2020.00658</x:v>
      </x:c>
      <x:c r="M262" s="34" t="str">
        <x:v>2006.11476</x:v>
      </x:c>
      <x:c r="N262" s="34" t="str">
        <x:v>https://openaccess.thecvf.com/content_CVPR_2020/html/Yao_Video_Playback_Rate_Perception_for_Self-Supervised_Spatio-Temporal_Representation_Learning_CVPR_2020_paper.html</x:v>
      </x:c>
      <x:c r="O262" s="34" t="str">
        <x:v>https://github.com/yuanyao366/PRP</x:v>
      </x:c>
      <x:c r="P262" s="34" t="str"/>
      <x:c r="Q262" s="38" t="str">
        <x:v>2026-08-11</x:v>
      </x:c>
    </x:row>
    <x:row r="263" ht="44" customHeight="1">
      <x:c r="A263" s="34" t="str">
        <x:v>Video representation learning by recognizing temporal transformations</x:v>
      </x:c>
      <x:c r="B263" s="34" t="str">
        <x:v>Simon Jenni, Givi Meishvili, Paolo Favaro</x:v>
      </x:c>
      <x:c r="C263" s="34" t="str">
        <x:v>Recognizing Temporal Transformations (RTT)</x:v>
      </x:c>
      <x:c r="D263" s="34" t="str">
        <x:v>Pretext / Predictive</x:v>
      </x:c>
      <x:c r="E263" s="34" t="str">
        <x:v>UCF101; Kinetics-600</x:v>
      </x:c>
      <x:c r="F263" s="34" t="str">
        <x:v>UCF101; HMDB51</x:v>
      </x:c>
      <x:c r="G263" s="34" t="str">
        <x:v>UCF101; Kinetics-600; HMDB51</x:v>
      </x:c>
      <x:c r="H263" s="36" t="str">
        <x:v>2020</x:v>
      </x:c>
      <x:c r="I263" s="34" t="str">
        <x:v>ECCV 2020</x:v>
      </x:c>
      <x:c r="J263" s="38" t="str">
        <x:v>No</x:v>
      </x:c>
      <x:c r="K263" s="38" t="str">
        <x:v>peer_reviewed</x:v>
      </x:c>
      <x:c r="L263" s="34" t="str">
        <x:v>10.1007/978-3-030-58604-1_26</x:v>
      </x:c>
      <x:c r="M263" s="34" t="str">
        <x:v>2007.10730</x:v>
      </x:c>
      <x:c r="N263" s="34" t="str">
        <x:v>https://doi.org/10.1007/978-3-030-58604-1_26</x:v>
      </x:c>
      <x:c r="O263" s="34" t="str">
        <x:v>https://github.com/sjenni/temporal-ssl</x:v>
      </x:c>
      <x:c r="P263" s="34" t="str"/>
      <x:c r="Q263" s="38" t="str">
        <x:v>2026-08-11</x:v>
      </x:c>
    </x:row>
    <x:row r="264" ht="44" customHeight="1">
      <x:c r="A264" s="34" t="str">
        <x:v>Video representation learning with visual tempo consistency</x:v>
      </x:c>
      <x:c r="B264" s="34" t="str">
        <x:v>Ceyuan Yang, Yinghao Xu, Bo Dai, Bolei Zhou</x:v>
      </x:c>
      <x:c r="C264" s="34" t="str">
        <x:v>Visual Tempo Hierarchical Contrastive Learning (VTHCL)</x:v>
      </x:c>
      <x:c r="D264" s="34" t="str">
        <x:v>Contrastive</x:v>
      </x:c>
      <x:c r="E264" s="34" t="str">
        <x:v>Kinetics-400</x:v>
      </x:c>
      <x:c r="F264" s="34" t="str">
        <x:v>UCF101; HMDB51; AVA; EPIC-KITCHENS-55</x:v>
      </x:c>
      <x:c r="G264" s="34" t="str">
        <x:v>Kinetics-400; UCF101; HMDB51; AVA; EPIC-KITCHENS-55</x:v>
      </x:c>
      <x:c r="H264" s="36" t="str">
        <x:v>2020</x:v>
      </x:c>
      <x:c r="I264" s="34" t="str">
        <x:v>arXiv / Preprint</x:v>
      </x:c>
      <x:c r="J264" s="38" t="str">
        <x:v>No</x:v>
      </x:c>
      <x:c r="K264" s="38" t="str">
        <x:v>preprint</x:v>
      </x:c>
      <x:c r="L264" s="34" t="str"/>
      <x:c r="M264" s="34" t="str">
        <x:v>2006.15489</x:v>
      </x:c>
      <x:c r="N264" s="34" t="str">
        <x:v>https://arxiv.org/abs/2006.15489</x:v>
      </x:c>
      <x:c r="O264" s="34" t="str">
        <x:v>https://github.com/decisionforce/VTHCL</x:v>
      </x:c>
      <x:c r="P264" s="34" t="str"/>
      <x:c r="Q264" s="38" t="str">
        <x:v>2026-08-11</x:v>
      </x:c>
    </x:row>
    <x:row r="265" ht="44" customHeight="1">
      <x:c r="A265" s="34" t="str">
        <x:v>DynamoNet: Dynamic Action and Motion Network</x:v>
      </x:c>
      <x:c r="B265" s="34" t="str">
        <x:v>Ali Diba, Vivek Sharma, Luc Van Gool, Rainer Stiefelhagen</x:v>
      </x:c>
      <x:c r="C265" s="34" t="str">
        <x:v>DynamoNet</x:v>
      </x:c>
      <x:c r="D265" s="34" t="str">
        <x:v>Other / Hybrid</x:v>
      </x:c>
      <x:c r="E265" s="34" t="str">
        <x:v>Kinetics-400; UCF101; HMDB51</x:v>
      </x:c>
      <x:c r="F265" s="34" t="str">
        <x:v>Kinetics-400; UCF101; HMDB51</x:v>
      </x:c>
      <x:c r="G265" s="34" t="str">
        <x:v>Kinetics-400; UCF101; HMDB51</x:v>
      </x:c>
      <x:c r="H265" s="36" t="str">
        <x:v>2019</x:v>
      </x:c>
      <x:c r="I265" s="34" t="str">
        <x:v>ICCV 2019</x:v>
      </x:c>
      <x:c r="J265" s="38" t="str">
        <x:v>No</x:v>
      </x:c>
      <x:c r="K265" s="38" t="str">
        <x:v>peer_reviewed</x:v>
      </x:c>
      <x:c r="L265" s="34" t="str"/>
      <x:c r="M265" s="34" t="str">
        <x:v>1904.11407</x:v>
      </x:c>
      <x:c r="N265" s="34" t="str">
        <x:v>https://openaccess.thecvf.com/content_ICCV_2019/html/Diba_DynamoNet_Dynamic_Action_and_Motion_Network_ICCV_2019_paper.html</x:v>
      </x:c>
      <x:c r="O265" s="34" t="str"/>
      <x:c r="P265" s="34" t="str">
        <x:v>The future-prediction branch is self-supervised, but the joint action-classification branch uses labels; training and evaluation are reported dataset-wise.</x:v>
      </x:c>
      <x:c r="Q265" s="38" t="str">
        <x:v>2026-08-11</x:v>
      </x:c>
    </x:row>
    <x:row r="266" ht="44" customHeight="1">
      <x:c r="A266" s="34" t="str">
        <x:v>Learning Video Representations Using Contrastive Bidirectional Transformer</x:v>
      </x:c>
      <x:c r="B266" s="34" t="str">
        <x:v>Chen Sun, Fabien Baradel, Kevin Murphy, Cordelia Schmid</x:v>
      </x:c>
      <x:c r="C266" s="34" t="str">
        <x:v>Contrastive Bidirectional Transformer (CBT)</x:v>
      </x:c>
      <x:c r="D266" s="34" t="str">
        <x:v>Multimodal / Video-Language</x:v>
      </x:c>
      <x:c r="E266" s="34" t="str">
        <x:v>Kinetics-600; HowTo100M</x:v>
      </x:c>
      <x:c r="F266" s="34" t="str">
        <x:v>UCF101; HMDB51; ActivityNet; Breakfast; 50Salads; YouCook2; COIN</x:v>
      </x:c>
      <x:c r="G266" s="34" t="str">
        <x:v>Kinetics-600; HowTo100M; UCF101; HMDB51; ActivityNet; Breakfast; 50Salads; YouCook2; COIN</x:v>
      </x:c>
      <x:c r="H266" s="36" t="str">
        <x:v>2019</x:v>
      </x:c>
      <x:c r="I266" s="34" t="str">
        <x:v>arXiv / Preprint</x:v>
      </x:c>
      <x:c r="J266" s="38" t="str">
        <x:v>No</x:v>
      </x:c>
      <x:c r="K266" s="38" t="str">
        <x:v>preprint</x:v>
      </x:c>
      <x:c r="L266" s="34" t="str"/>
      <x:c r="M266" s="34" t="str">
        <x:v>1906.05743</x:v>
      </x:c>
      <x:c r="N266" s="34" t="str">
        <x:v>https://arxiv.org/abs/1906.05743</x:v>
      </x:c>
      <x:c r="O266" s="34" t="str"/>
      <x:c r="P266" s="34" t="str">
        <x:v>Kinetics-600 supports short-term visual pretraining; HowTo100M and its ASR support long-term and cross-modal pretraining. The temporal branch also uses a supervised Kinetics S3D feature extractor and a frozen text BERT checkpoint.</x:v>
      </x:c>
      <x:c r="Q266" s="38" t="str">
        <x:v>2026-08-11</x:v>
      </x:c>
    </x:row>
    <x:row r="267" ht="44" customHeight="1">
      <x:c r="A267" s="34" t="str">
        <x:v>Self-supervised spatio-temporal representation learning for videos by predicting motion and appearance statistics</x:v>
      </x:c>
      <x:c r="B267" s="34" t="str">
        <x:v>Jiangliu Wang, Jianbo Jiao, Linchao Bao, Shengfeng He, Yunhui Liu, Wei Liu</x:v>
      </x:c>
      <x:c r="C267" s="34" t="str">
        <x:v>Motion and Appearance Statistics (MAS)</x:v>
      </x:c>
      <x:c r="D267" s="34" t="str">
        <x:v>Pretext / Predictive</x:v>
      </x:c>
      <x:c r="E267" s="34" t="str">
        <x:v>UCF101; Kinetics-400</x:v>
      </x:c>
      <x:c r="F267" s="34" t="str">
        <x:v>UCF101; HMDB51; ASLAN; YUPENN</x:v>
      </x:c>
      <x:c r="G267" s="34" t="str">
        <x:v>UCF101; Kinetics-400; HMDB51; ASLAN; YUPENN</x:v>
      </x:c>
      <x:c r="H267" s="36" t="str">
        <x:v>2019</x:v>
      </x:c>
      <x:c r="I267" s="34" t="str">
        <x:v>CVPR 2019</x:v>
      </x:c>
      <x:c r="J267" s="38" t="str">
        <x:v>No</x:v>
      </x:c>
      <x:c r="K267" s="38" t="str">
        <x:v>peer_reviewed</x:v>
      </x:c>
      <x:c r="L267" s="34" t="str">
        <x:v>10.1109/CVPR.2019.00413</x:v>
      </x:c>
      <x:c r="M267" s="34" t="str">
        <x:v>1904.03597</x:v>
      </x:c>
      <x:c r="N267" s="34" t="str">
        <x:v>https://openaccess.thecvf.com/content_CVPR_2019/html/Wang_Self-Supervised_Spatio-Temporal_Representation_Learning_for_Videos_by_Predicting_Motion_and_CVPR_2019_paper.html</x:v>
      </x:c>
      <x:c r="O267" s="34" t="str">
        <x:v>https://github.com/laura-wang/video_repres_mas</x:v>
      </x:c>
      <x:c r="P267" s="34" t="str">
        <x:v>UCF101 is the default self-supervised pretraining set; the paper also reports a Kinetics-400 pretraining variant.</x:v>
      </x:c>
      <x:c r="Q267" s="38" t="str">
        <x:v>2026-08-11</x:v>
      </x:c>
    </x:row>
    <x:row r="268" ht="44" customHeight="1">
      <x:c r="A268" s="34" t="str">
        <x:v>Self-supervised spatiotemporal learning via video clip order prediction</x:v>
      </x:c>
      <x:c r="B268" s="34" t="str">
        <x:v>Dejing Xu, Jun Xiao, Zhou Zhao, Jian Shao, Di Xie, Yueting Zhuang</x:v>
      </x:c>
      <x:c r="C268" s="34" t="str">
        <x:v>Video Clip Order Prediction (VCOP)</x:v>
      </x:c>
      <x:c r="D268" s="34" t="str">
        <x:v>Pretext / Predictive</x:v>
      </x:c>
      <x:c r="E268" s="34" t="str">
        <x:v>UCF101</x:v>
      </x:c>
      <x:c r="F268" s="34" t="str">
        <x:v>UCF101; HMDB51</x:v>
      </x:c>
      <x:c r="G268" s="34" t="str">
        <x:v>UCF101; HMDB51</x:v>
      </x:c>
      <x:c r="H268" s="36" t="str">
        <x:v>2019</x:v>
      </x:c>
      <x:c r="I268" s="34" t="str">
        <x:v>CVPR 2019</x:v>
      </x:c>
      <x:c r="J268" s="38" t="str">
        <x:v>No</x:v>
      </x:c>
      <x:c r="K268" s="38" t="str">
        <x:v>peer_reviewed</x:v>
      </x:c>
      <x:c r="L268" s="34" t="str"/>
      <x:c r="M268" s="34" t="str"/>
      <x:c r="N268" s="34" t="str">
        <x:v>https://openaccess.thecvf.com/content_CVPR_2019/html/Xu_Self-Supervised_Spatiotemporal_Learning_via_Video_Clip_Order_Prediction_CVPR_2019_paper.html</x:v>
      </x:c>
      <x:c r="O268" s="34" t="str">
        <x:v>https://github.com/xudejing/video-clip-order-prediction</x:v>
      </x:c>
      <x:c r="P268" s="34" t="str"/>
      <x:c r="Q268" s="38" t="str">
        <x:v>2026-08-11</x:v>
      </x:c>
    </x:row>
    <x:row r="269" ht="44" customHeight="1">
      <x:c r="A269" s="34" t="str">
        <x:v>Self-supervised video representation learning with space-time cubic puzzles</x:v>
      </x:c>
      <x:c r="B269" s="34" t="str">
        <x:v>Dahun Kim, Donghyeon Cho, In So Kweon</x:v>
      </x:c>
      <x:c r="C269" s="34" t="str">
        <x:v>Space-Time Cubic Puzzles</x:v>
      </x:c>
      <x:c r="D269" s="34" t="str">
        <x:v>Pretext / Predictive</x:v>
      </x:c>
      <x:c r="E269" s="34" t="str">
        <x:v>Kinetics-400</x:v>
      </x:c>
      <x:c r="F269" s="34" t="str">
        <x:v>UCF101; HMDB51</x:v>
      </x:c>
      <x:c r="G269" s="34" t="str">
        <x:v>Kinetics-400; UCF101; HMDB51</x:v>
      </x:c>
      <x:c r="H269" s="36" t="str">
        <x:v>2019</x:v>
      </x:c>
      <x:c r="I269" s="34" t="str">
        <x:v>AAAI 2019</x:v>
      </x:c>
      <x:c r="J269" s="38" t="str">
        <x:v>No</x:v>
      </x:c>
      <x:c r="K269" s="38" t="str">
        <x:v>peer_reviewed</x:v>
      </x:c>
      <x:c r="L269" s="34" t="str">
        <x:v>10.1609/aaai.v33i01.33018545</x:v>
      </x:c>
      <x:c r="M269" s="34" t="str">
        <x:v>1811.09795</x:v>
      </x:c>
      <x:c r="N269" s="34" t="str">
        <x:v>https://ojs.aaai.org/index.php/AAAI/article/view/4873</x:v>
      </x:c>
      <x:c r="O269" s="34" t="str"/>
      <x:c r="P269" s="34" t="str"/>
      <x:c r="Q269" s="38" t="str">
        <x:v>2026-08-11</x:v>
      </x:c>
    </x:row>
    <x:row r="270" ht="44" customHeight="1">
      <x:c r="A270" s="34" t="str">
        <x:v>Temporal Cycle-Consistency Learning</x:v>
      </x:c>
      <x:c r="B270" s="34" t="str">
        <x:v>Dwibedi, D., Aytar, Y., Tompson, J., Sermanet, P., &amp; Zisserman, A.</x:v>
      </x:c>
      <x:c r="C270" s="34" t="str">
        <x:v>Temporal Cycle-Consistency Learning (TCC)</x:v>
      </x:c>
      <x:c r="D270" s="34" t="str">
        <x:v>Contrastive</x:v>
      </x:c>
      <x:c r="E270" s="34" t="str">
        <x:v>Pouring; Penn Action; ImageNet-1K</x:v>
      </x:c>
      <x:c r="F270" s="34" t="str">
        <x:v>Pouring; Penn Action</x:v>
      </x:c>
      <x:c r="G270" s="34" t="str">
        <x:v>Pouring; Penn Action; ImageNet-1K</x:v>
      </x:c>
      <x:c r="H270" s="36" t="str">
        <x:v>2019</x:v>
      </x:c>
      <x:c r="I270" s="34" t="str">
        <x:v>CVPR 2019</x:v>
      </x:c>
      <x:c r="J270" s="38" t="str">
        <x:v>No</x:v>
      </x:c>
      <x:c r="K270" s="38" t="str">
        <x:v>peer_reviewed</x:v>
      </x:c>
      <x:c r="L270" s="34" t="str"/>
      <x:c r="M270" s="34" t="str">
        <x:v>1904.07846</x:v>
      </x:c>
      <x:c r="N270" s="34" t="str">
        <x:v>https://openaccess.thecvf.com/content_CVPR_2019/html/Dwibedi_Temporal_Cycle-Consistency_Learning_CVPR_2019_paper.html</x:v>
      </x:c>
      <x:c r="O270" s="34" t="str"/>
      <x:c r="P270" s="34" t="str">
        <x:v>The paper reports both training from scratch and self-supervised fine-tuning from an ImageNet-1K supervised ResNet-50 initialization.</x:v>
      </x:c>
      <x:c r="Q270" s="38" t="str">
        <x:v>2026-08-11</x:v>
      </x:c>
    </x:row>
    <x:row r="271" ht="44" customHeight="1">
      <x:c r="A271" s="34" t="str">
        <x:v>Video Jigsaw: Unsupervised Learning of Spatiotemporal Context for Video Action Recognition</x:v>
      </x:c>
      <x:c r="B271" s="34" t="str">
        <x:v>Unaiza Ahsan, Rishi Madhok, Irfan Essa</x:v>
      </x:c>
      <x:c r="C271" s="34" t="str">
        <x:v>Video Jigsaw</x:v>
      </x:c>
      <x:c r="D271" s="34" t="str">
        <x:v>Pretext / Predictive</x:v>
      </x:c>
      <x:c r="E271" s="34" t="str">
        <x:v>Kinetics-400; UCF101</x:v>
      </x:c>
      <x:c r="F271" s="34" t="str">
        <x:v>UCF101; HMDB51</x:v>
      </x:c>
      <x:c r="G271" s="34" t="str">
        <x:v>Kinetics-400; UCF101; HMDB51</x:v>
      </x:c>
      <x:c r="H271" s="36" t="str">
        <x:v>2019</x:v>
      </x:c>
      <x:c r="I271" s="34" t="str">
        <x:v>WACV 2019</x:v>
      </x:c>
      <x:c r="J271" s="38" t="str">
        <x:v>No</x:v>
      </x:c>
      <x:c r="K271" s="38" t="str">
        <x:v>peer_reviewed</x:v>
      </x:c>
      <x:c r="L271" s="34" t="str">
        <x:v>10.1109/WACV.2019.00025</x:v>
      </x:c>
      <x:c r="M271" s="34" t="str">
        <x:v>1808.07507</x:v>
      </x:c>
      <x:c r="N271" s="34" t="str">
        <x:v>https://doi.org/10.1109/WACV.2019.00025</x:v>
      </x:c>
      <x:c r="O271" s="34" t="str"/>
      <x:c r="P271" s="34" t="str">
        <x:v>The main transferable model is pretrained on Kinetics-400; UCF101 is also used in pretraining ablations.</x:v>
      </x:c>
      <x:c r="Q271" s="38" t="str">
        <x:v>2026-08-11</x:v>
      </x:c>
    </x:row>
    <x:row r="272" ht="44" customHeight="1">
      <x:c r="A272" s="34" t="str">
        <x:v>Video representation learning by dense predictive coding</x:v>
      </x:c>
      <x:c r="B272" s="34" t="str">
        <x:v>Tengda Han, Weidi Xie, Andrew Zisserman</x:v>
      </x:c>
      <x:c r="C272" s="34" t="str">
        <x:v>Dense Predictive Coding (DPC)</x:v>
      </x:c>
      <x:c r="D272" s="34" t="str">
        <x:v>Pretext / Predictive</x:v>
      </x:c>
      <x:c r="E272" s="34" t="str">
        <x:v>Kinetics-400</x:v>
      </x:c>
      <x:c r="F272" s="34" t="str">
        <x:v>UCF101; HMDB51</x:v>
      </x:c>
      <x:c r="G272" s="34" t="str">
        <x:v>Kinetics-400; UCF101; HMDB51</x:v>
      </x:c>
      <x:c r="H272" s="36" t="str">
        <x:v>2019</x:v>
      </x:c>
      <x:c r="I272" s="34" t="str">
        <x:v>ICCV Workshops 2019</x:v>
      </x:c>
      <x:c r="J272" s="38" t="str">
        <x:v>No</x:v>
      </x:c>
      <x:c r="K272" s="38" t="str">
        <x:v>peer_reviewed</x:v>
      </x:c>
      <x:c r="L272" s="34" t="str"/>
      <x:c r="M272" s="34" t="str">
        <x:v>1909.04656</x:v>
      </x:c>
      <x:c r="N272" s="34" t="str">
        <x:v>https://openaccess.thecvf.com/content_ICCVW_2019/html/HVU/Han_Video_Representation_Learning_by_Dense_Predictive_Coding_ICCVW_2019_paper.html</x:v>
      </x:c>
      <x:c r="O272" s="34" t="str">
        <x:v>https://github.com/TengdaHan/DPC</x:v>
      </x:c>
      <x:c r="P272" s="34" t="str"/>
      <x:c r="Q272" s="38" t="str">
        <x:v>2026-08-11</x:v>
      </x:c>
    </x:row>
    <x:row r="273" ht="44" customHeight="1">
      <x:c r="A273" s="34" t="str">
        <x:v>VideoBERT: A Joint Model for Video and Language Representation Learning</x:v>
      </x:c>
      <x:c r="B273" s="34" t="str">
        <x:v>Sun, C., Myers, A., Vondrick, C., Murphy, K., &amp; Schmid, C.</x:v>
      </x:c>
      <x:c r="C273" s="34" t="str">
        <x:v>VideoBERT</x:v>
      </x:c>
      <x:c r="D273" s="34" t="str">
        <x:v>Multimodal / Video-Language</x:v>
      </x:c>
      <x:c r="E273" s="34" t="str">
        <x:v>YouTube Cooking-312K; Kinetics-400; BooksCorpus; English Wikipedia</x:v>
      </x:c>
      <x:c r="F273" s="34" t="str">
        <x:v>YouCook2</x:v>
      </x:c>
      <x:c r="G273" s="34" t="str">
        <x:v>YouTube Cooking-312K; Kinetics-400; BooksCorpus; English Wikipedia; YouCook2</x:v>
      </x:c>
      <x:c r="H273" s="36" t="str">
        <x:v>2019</x:v>
      </x:c>
      <x:c r="I273" s="34" t="str">
        <x:v>ICCV 2019</x:v>
      </x:c>
      <x:c r="J273" s="38" t="str">
        <x:v>No</x:v>
      </x:c>
      <x:c r="K273" s="38" t="str">
        <x:v>peer_reviewed</x:v>
      </x:c>
      <x:c r="L273" s="34" t="str"/>
      <x:c r="M273" s="34" t="str">
        <x:v>1904.01766</x:v>
      </x:c>
      <x:c r="N273" s="34" t="str">
        <x:v>https://openaccess.thecvf.com/content_ICCV_2019/html/Sun_VideoBERT_A_Joint_Model_for_Video_and_Language_Representation_Learning_ICCV_2019_paper.html</x:v>
      </x:c>
      <x:c r="O273" s="34" t="str"/>
      <x:c r="P273" s="34" t="str">
        <x:v>The 312K-video cooking corpus is a private YouTube collection. Kinetics-400 initializes S3D; BooksCorpus and English Wikipedia initialize the released BERT-Large text checkpoint.</x:v>
      </x:c>
      <x:c r="Q273" s="38" t="str">
        <x:v>2026-08-11</x:v>
      </x:c>
    </x:row>
    <x:row r="274" ht="44" customHeight="1">
      <x:c r="A274" s="34" t="str">
        <x:v>Audio-Visual Scene Analysis with Self-Supervised Multisensory Features</x:v>
      </x:c>
      <x:c r="B274" s="34" t="str">
        <x:v>Andrew Owens, Alexei A. Efros</x:v>
      </x:c>
      <x:c r="C274" s="34" t="str">
        <x:v>Multisensory Temporal Alignment</x:v>
      </x:c>
      <x:c r="D274" s="34" t="str">
        <x:v>Multimodal / Audio-Visual</x:v>
      </x:c>
      <x:c r="E274" s="34" t="str">
        <x:v>AudioSet-750K; VoxCeleb; VoxCeleb2</x:v>
      </x:c>
      <x:c r="F274" s="34" t="str">
        <x:v>UCF101; Kinetics-Sounds; VoxCeleb; GRID</x:v>
      </x:c>
      <x:c r="G274" s="34" t="str">
        <x:v>AudioSet-750K; VoxCeleb; VoxCeleb2; UCF101; Kinetics-Sounds; GRID</x:v>
      </x:c>
      <x:c r="H274" s="36" t="str">
        <x:v>2018</x:v>
      </x:c>
      <x:c r="I274" s="34" t="str">
        <x:v>ECCV 2018</x:v>
      </x:c>
      <x:c r="J274" s="38" t="str">
        <x:v>No</x:v>
      </x:c>
      <x:c r="K274" s="38" t="str">
        <x:v>peer_reviewed</x:v>
      </x:c>
      <x:c r="L274" s="34" t="str">
        <x:v>10.1007/978-3-030-01231-1_39</x:v>
      </x:c>
      <x:c r="M274" s="34" t="str">
        <x:v>1804.03641</x:v>
      </x:c>
      <x:c r="N274" s="34" t="str">
        <x:v>https://openaccess.thecvf.com/content_ECCV_2018/html/Andrew_Owens_Audio-Visual_Scene_Analysis_ECCV_2018_paper.html</x:v>
      </x:c>
      <x:c r="O274" s="34" t="str">
        <x:v>https://github.com/andrewowens/multisensory</x:v>
      </x:c>
      <x:c r="P274" s="34" t="str">
        <x:v>The core multisensory representation is learned from about 750,000 AudioSet videos. VoxCeleb and VoxCeleb2 are used for task-specific source-separation training and GRID for transfer evaluation.</x:v>
      </x:c>
      <x:c r="Q274" s="38" t="str">
        <x:v>2026-08-11</x:v>
      </x:c>
    </x:row>
    <x:row r="275" ht="44" customHeight="1">
      <x:c r="A275" s="34" t="str">
        <x:v>Compressed Video Action Recognition</x:v>
      </x:c>
      <x:c r="B275" s="34" t="str">
        <x:v>Chao-Yuan Wu, Manzil Zaheer, Hexiang Hu, R. Manmatha, Alexander J. Smola, Philipp Krahenb</x:v>
      </x:c>
      <x:c r="C275" s="34" t="str">
        <x:v>Compressed Video Action Recognition (CoViAR)</x:v>
      </x:c>
      <x:c r="D275" s="34" t="str">
        <x:v>Other / Hybrid</x:v>
      </x:c>
      <x:c r="E275" s="34" t="str">
        <x:v>ImageNet-1K</x:v>
      </x:c>
      <x:c r="F275" s="34" t="str">
        <x:v>UCF101; HMDB51; Charades</x:v>
      </x:c>
      <x:c r="G275" s="34" t="str">
        <x:v>ImageNet-1K; UCF101; HMDB51; Charades</x:v>
      </x:c>
      <x:c r="H275" s="36" t="str">
        <x:v>2018</x:v>
      </x:c>
      <x:c r="I275" s="34" t="str">
        <x:v>CVPR 2018</x:v>
      </x:c>
      <x:c r="J275" s="38" t="str">
        <x:v>No</x:v>
      </x:c>
      <x:c r="K275" s="38" t="str">
        <x:v>peer_reviewed</x:v>
      </x:c>
      <x:c r="L275" s="34" t="str"/>
      <x:c r="M275" s="34" t="str">
        <x:v>1712.00636</x:v>
      </x:c>
      <x:c r="N275" s="34" t="str">
        <x:v>https://openaccess.thecvf.com/content_cvpr_2018/html/Wu_Compressed_Video_Action_CVPR_2018_paper.html</x:v>
      </x:c>
      <x:c r="O275" s="34" t="str"/>
      <x:c r="P275" s="34" t="str">
        <x:v>This is a supervised action-recognition paper rather than a self-supervised pretraining method. Its component CNNs use supervised ImageNet-1K initialization.</x:v>
      </x:c>
      <x:c r="Q275" s="38" t="str">
        <x:v>2026-08-11</x:v>
      </x:c>
    </x:row>
    <x:row r="276" ht="44" customHeight="1">
      <x:c r="A276" s="34" t="str">
        <x:v>Cooperative Learning of Audio and Video Models from Self-Supervised Synchronization</x:v>
      </x:c>
      <x:c r="B276" s="34" t="str">
        <x:v>Bruno Korbar, Du Tran, Lorenzo Torresani</x:v>
      </x:c>
      <x:c r="C276" s="34" t="str">
        <x:v>Audio-Visual Temporal Synchronization (AVTS)</x:v>
      </x:c>
      <x:c r="D276" s="34" t="str">
        <x:v>Multimodal / Audio-Visual</x:v>
      </x:c>
      <x:c r="E276" s="34" t="str">
        <x:v>Kinetics-400; AudioSet; SoundNet Dataset</x:v>
      </x:c>
      <x:c r="F276" s="34" t="str">
        <x:v>Kinetics-400; AudioSet; UCF101; HMDB51; ESC-50; DCASE2014</x:v>
      </x:c>
      <x:c r="G276" s="34" t="str">
        <x:v>Kinetics-400; AudioSet; SoundNet Dataset; UCF101; HMDB51; ESC-50; DCASE2014</x:v>
      </x:c>
      <x:c r="H276" s="36" t="str">
        <x:v>2018</x:v>
      </x:c>
      <x:c r="I276" s="34" t="str">
        <x:v>NeurIPS 2018</x:v>
      </x:c>
      <x:c r="J276" s="38" t="str">
        <x:v>Yes</x:v>
      </x:c>
      <x:c r="K276" s="38" t="str">
        <x:v>peer_reviewed</x:v>
      </x:c>
      <x:c r="L276" s="34" t="str"/>
      <x:c r="M276" s="34" t="str">
        <x:v>1807.00230</x:v>
      </x:c>
      <x:c r="N276" s="34" t="str">
        <x:v>https://proceedings.neurips.cc/paper/2018/hash/c4616f5a24a66668f11ca4fa80525dc4-Abstract.html</x:v>
      </x:c>
      <x:c r="O276" s="34" t="str"/>
      <x:c r="P276" s="34" t="str">
        <x:v>The paper trains separate AVTS models on Kinetics-400, AudioSet, and the SoundNet collection; downstream experiments cover both visual and audio recognition.</x:v>
      </x:c>
      <x:c r="Q276" s="38" t="str">
        <x:v>2026-08-11</x:v>
      </x:c>
    </x:row>
    <x:row r="277" ht="44" customHeight="1">
      <x:c r="A277" s="34" t="str">
        <x:v>Geometry Guided Convolutional Neural Networks for Self-Supervised Video Representation Learning</x:v>
      </x:c>
      <x:c r="B277" s="34" t="str">
        <x:v>Chuang Gan, Boqing Gong, Kun Liu, Hao Su, Leonidas J. Guibas</x:v>
      </x:c>
      <x:c r="C277" s="34" t="str">
        <x:v>Geometry-Guided CNN</x:v>
      </x:c>
      <x:c r="D277" s="34" t="str">
        <x:v>Pretext / Predictive</x:v>
      </x:c>
      <x:c r="E277" s="34" t="str">
        <x:v>FlyingChairs; Web 3D Movies</x:v>
      </x:c>
      <x:c r="F277" s="34" t="str">
        <x:v>UCF101; HMDB51</x:v>
      </x:c>
      <x:c r="G277" s="34" t="str">
        <x:v>FlyingChairs; Web 3D Movies; UCF101; HMDB51</x:v>
      </x:c>
      <x:c r="H277" s="36" t="str">
        <x:v>2018</x:v>
      </x:c>
      <x:c r="I277" s="34" t="str">
        <x:v>CVPR 2018</x:v>
      </x:c>
      <x:c r="J277" s="38" t="str">
        <x:v>No</x:v>
      </x:c>
      <x:c r="K277" s="38" t="str">
        <x:v>peer_reviewed</x:v>
      </x:c>
      <x:c r="L277" s="34" t="str">
        <x:v>10.1109/CVPR.2018.00586</x:v>
      </x:c>
      <x:c r="M277" s="34" t="str"/>
      <x:c r="N277" s="34" t="str">
        <x:v>https://openaccess.thecvf.com/content_cvpr_2018/html/Gan_Geometry_Guided_Convolutional_CVPR_2018_paper.html</x:v>
      </x:c>
      <x:c r="O277" s="34" t="str"/>
      <x:c r="P277" s="34" t="str">
        <x:v>Web 3D Movies denotes the authors' private collection of approximately 80 stereoscopic films and 40,000 frame pairs.</x:v>
      </x:c>
      <x:c r="Q277" s="38" t="str">
        <x:v>2026-08-11</x:v>
      </x:c>
    </x:row>
    <x:row r="278" ht="44" customHeight="1">
      <x:c r="A278" s="34" t="str">
        <x:v>Improving Spatiotemporal Self-Supervision by Deep Reinforcement Learning</x:v>
      </x:c>
      <x:c r="B278" s="34" t="str">
        <x:v>Uta Buchler, Biagio Brattoli, Bjorn Ommer</x:v>
      </x:c>
      <x:c r="C278" s="34" t="str">
        <x:v>Reinforcement-Learned Spatiotemporal Permutations</x:v>
      </x:c>
      <x:c r="D278" s="34" t="str">
        <x:v>Pretext / Predictive</x:v>
      </x:c>
      <x:c r="E278" s="34" t="str">
        <x:v>ImageNet-1K; UCF101</x:v>
      </x:c>
      <x:c r="F278" s="34" t="str">
        <x:v>UCF101; HMDB51; ImageNet-1K; PASCAL VOC 2007; PASCAL VOC 2012</x:v>
      </x:c>
      <x:c r="G278" s="34" t="str">
        <x:v>ImageNet-1K; UCF101; HMDB51; PASCAL VOC 2007; PASCAL VOC 2012</x:v>
      </x:c>
      <x:c r="H278" s="36" t="str">
        <x:v>2018</x:v>
      </x:c>
      <x:c r="I278" s="34" t="str">
        <x:v>ECCV 2018</x:v>
      </x:c>
      <x:c r="J278" s="38" t="str">
        <x:v>No</x:v>
      </x:c>
      <x:c r="K278" s="38" t="str">
        <x:v>peer_reviewed</x:v>
      </x:c>
      <x:c r="L278" s="34" t="str">
        <x:v>10.1007/978-3-030-01267-0_47</x:v>
      </x:c>
      <x:c r="M278" s="34" t="str">
        <x:v>1807.11293</x:v>
      </x:c>
      <x:c r="N278" s="34" t="str">
        <x:v>https://openaccess.thecvf.com/content_ECCV_2018/html/Uta_Buchler_Improving_Spatiotemporal_Self-Supervision_ECCV_2018_paper.html</x:v>
      </x:c>
      <x:c r="O278" s="34" t="str"/>
      <x:c r="P278" s="34" t="str">
        <x:v>ImageNet-1K supplies images for the spatial ordering task, while UCF101 supplies video frames for the temporal ordering task.</x:v>
      </x:c>
      <x:c r="Q278" s="38" t="str">
        <x:v>2026-08-11</x:v>
      </x:c>
    </x:row>
    <x:row r="279" ht="44" customHeight="1">
      <x:c r="A279" s="34" t="str">
        <x:v>Learning and Using the Arrow of Time</x:v>
      </x:c>
      <x:c r="B279" s="34" t="str">
        <x:v>Donglai Wei, Joseph Lim, Andrew Zisserman, William T. Freeman</x:v>
      </x:c>
      <x:c r="C279" s="34" t="str">
        <x:v>Temporal Class Activation Map Network (T-CAM) / Arrow of Time</x:v>
      </x:c>
      <x:c r="D279" s="34" t="str">
        <x:v>Pretext / Predictive</x:v>
      </x:c>
      <x:c r="E279" s="34" t="str">
        <x:v>UCF101; Flickr-AoT; Kinetics-AoT</x:v>
      </x:c>
      <x:c r="F279" s="34" t="str">
        <x:v>UCF101; HMDB51; Flickr-AoT; Kinetics-AoT; TA180; ReverseFilm</x:v>
      </x:c>
      <x:c r="G279" s="34" t="str">
        <x:v>UCF101; Flickr-AoT; Kinetics-AoT; HMDB51; TA180; ReverseFilm</x:v>
      </x:c>
      <x:c r="H279" s="36" t="str">
        <x:v>2018</x:v>
      </x:c>
      <x:c r="I279" s="34" t="str">
        <x:v>CVPR 2018</x:v>
      </x:c>
      <x:c r="J279" s="38" t="str">
        <x:v>No</x:v>
      </x:c>
      <x:c r="K279" s="38" t="str">
        <x:v>peer_reviewed</x:v>
      </x:c>
      <x:c r="L279" s="34" t="str">
        <x:v>10.1109/CVPR.2018.00840</x:v>
      </x:c>
      <x:c r="M279" s="34" t="str"/>
      <x:c r="N279" s="34" t="str">
        <x:v>https://openaccess.thecvf.com/content_cvpr_2018/html/Wei_Learning_and_Using_CVPR_2018_paper.html</x:v>
      </x:c>
      <x:c r="O279" s="34" t="str"/>
      <x:c r="P279" s="34" t="str">
        <x:v>Flickr-AoT and Kinetics-AoT are constructed for arrow-of-time training and testing; TA180 and ReverseFilm are targeted temporal-asymmetry evaluation sets.</x:v>
      </x:c>
      <x:c r="Q279" s="38" t="str">
        <x:v>2026-08-11</x:v>
      </x:c>
    </x:row>
    <x:row r="280" ht="44" customHeight="1">
      <x:c r="A280" s="34" t="str">
        <x:v>Self-Supervised Spatiotemporal Feature Learning via Video Rotation Prediction</x:v>
      </x:c>
      <x:c r="B280" s="34" t="str">
        <x:v>Longlong Jing, Xiaodong Yang, Jinggen Liu, Yingli Tian</x:v>
      </x:c>
      <x:c r="C280" s="34" t="str">
        <x:v>3DRotNet / Video Rotation Prediction</x:v>
      </x:c>
      <x:c r="D280" s="34" t="str">
        <x:v>Pretext / Predictive</x:v>
      </x:c>
      <x:c r="E280" s="34" t="str">
        <x:v>Kinetics-400</x:v>
      </x:c>
      <x:c r="F280" s="34" t="str">
        <x:v>UCF101; HMDB51</x:v>
      </x:c>
      <x:c r="G280" s="34" t="str">
        <x:v>Kinetics-400; UCF101; HMDB51</x:v>
      </x:c>
      <x:c r="H280" s="36" t="str">
        <x:v>2018</x:v>
      </x:c>
      <x:c r="I280" s="34" t="str">
        <x:v>arXiv / Preprint</x:v>
      </x:c>
      <x:c r="J280" s="38" t="str">
        <x:v>No</x:v>
      </x:c>
      <x:c r="K280" s="38" t="str">
        <x:v>preprint</x:v>
      </x:c>
      <x:c r="L280" s="34" t="str"/>
      <x:c r="M280" s="34" t="str">
        <x:v>1811.11387</x:v>
      </x:c>
      <x:c r="N280" s="34" t="str">
        <x:v>https://arxiv.org/abs/1811.11387</x:v>
      </x:c>
      <x:c r="O280" s="34" t="str"/>
      <x:c r="P280" s="34" t="str"/>
      <x:c r="Q280" s="38" t="str">
        <x:v>2026-08-11</x:v>
      </x:c>
    </x:row>
    <x:row r="281" ht="44" customHeight="1">
      <x:c r="A281" s="34" t="str">
        <x:v>Self-Supervised Video Representation Learning With Odd-One-Out Networks</x:v>
      </x:c>
      <x:c r="B281" s="34" t="str">
        <x:v>Basura Fernando, Hakan Bilen, Efstratios Gavves, Stephen Gould</x:v>
      </x:c>
      <x:c r="C281" s="34" t="str">
        <x:v>Odd-One-Out Network (O3N)</x:v>
      </x:c>
      <x:c r="D281" s="34" t="str">
        <x:v>Pretext / Predictive</x:v>
      </x:c>
      <x:c r="E281" s="34" t="str">
        <x:v>UCF101; HMDB51</x:v>
      </x:c>
      <x:c r="F281" s="34" t="str">
        <x:v>UCF101; HMDB51</x:v>
      </x:c>
      <x:c r="G281" s="34" t="str">
        <x:v>UCF101; HMDB51</x:v>
      </x:c>
      <x:c r="H281" s="36" t="str">
        <x:v>2017</x:v>
      </x:c>
      <x:c r="I281" s="34" t="str">
        <x:v>CVPR 2017</x:v>
      </x:c>
      <x:c r="J281" s="38" t="str">
        <x:v>No</x:v>
      </x:c>
      <x:c r="K281" s="38" t="str">
        <x:v>peer_reviewed</x:v>
      </x:c>
      <x:c r="L281" s="34" t="str">
        <x:v>10.1109/CVPR.2017.607</x:v>
      </x:c>
      <x:c r="M281" s="34" t="str">
        <x:v>1611.06646</x:v>
      </x:c>
      <x:c r="N281" s="34" t="str">
        <x:v>https://openaccess.thecvf.com/content_cvpr_2017/html/Fernando_Self-Supervised_Video_Representation_CVPR_2017_paper.html</x:v>
      </x:c>
      <x:c r="O281" s="34" t="str"/>
      <x:c r="P281" s="34" t="str">
        <x:v>Self-supervised feature learning and downstream action classification are reported on UCF101 and HMDB51 without external pretrained weights or optical-flow inputs.</x:v>
      </x:c>
      <x:c r="Q281" s="38" t="str">
        <x:v>2026-08-11</x:v>
      </x:c>
    </x:row>
    <x:row r="282" ht="44" customHeight="1">
      <x:c r="A282" s="34" t="str">
        <x:v>Unsupervised Representation Learning by Sorting Sequences</x:v>
      </x:c>
      <x:c r="B282" s="34" t="str">
        <x:v>Hsin-Ying Lee, Jia-Bin Huang, Maneesh Singh, Ming-Hsuan Yang</x:v>
      </x:c>
      <x:c r="C282" s="34" t="str">
        <x:v>Order Prediction Network (OPN)</x:v>
      </x:c>
      <x:c r="D282" s="34" t="str">
        <x:v>Pretext / Predictive</x:v>
      </x:c>
      <x:c r="E282" s="34" t="str">
        <x:v>UCF101; HMDB51</x:v>
      </x:c>
      <x:c r="F282" s="34" t="str">
        <x:v>UCF101; HMDB51; PASCAL VOC 2007</x:v>
      </x:c>
      <x:c r="G282" s="34" t="str">
        <x:v>UCF101; HMDB51; PASCAL VOC 2007</x:v>
      </x:c>
      <x:c r="H282" s="36" t="str">
        <x:v>2017</x:v>
      </x:c>
      <x:c r="I282" s="34" t="str">
        <x:v>ICCV 2017</x:v>
      </x:c>
      <x:c r="J282" s="38" t="str">
        <x:v>No</x:v>
      </x:c>
      <x:c r="K282" s="38" t="str">
        <x:v>peer_reviewed</x:v>
      </x:c>
      <x:c r="L282" s="34" t="str">
        <x:v>10.1109/ICCV.2017.79</x:v>
      </x:c>
      <x:c r="M282" s="34" t="str">
        <x:v>1708.01246</x:v>
      </x:c>
      <x:c r="N282" s="34" t="str">
        <x:v>https://openaccess.thecvf.com/content_ICCV_2017/papers/Lee_Unsupervised_Representation_Learning_ICCV_2017_paper.pdf</x:v>
      </x:c>
      <x:c r="O282" s="34" t="str"/>
      <x:c r="P282" s="34" t="str">
        <x:v>The main model is self-supervised on UCF101 and transferred to UCF101, HMDB51, and PASCAL VOC 2007. The paper also reports dataset-specific unsupervised pretraining on HMDB51.</x:v>
      </x:c>
      <x:c r="Q282" s="38" t="str">
        <x:v>2026-08-11</x:v>
      </x:c>
    </x:row>
    <x:row r="283" ht="44" customHeight="1">
      <x:c r="A283" s="34" t="str">
        <x:v>Shuffle and Learn: Unsupervised Learning Using Temporal Order Verification</x:v>
      </x:c>
      <x:c r="B283" s="34" t="str">
        <x:v>Ishan Misra, C. Lawrence Zitnick, Martial Hebert</x:v>
      </x:c>
      <x:c r="C283" s="34" t="str">
        <x:v>Shuffle and Learn / Temporal Order Verification</x:v>
      </x:c>
      <x:c r="D283" s="34" t="str">
        <x:v>Pretext / Predictive</x:v>
      </x:c>
      <x:c r="E283" s="34" t="str">
        <x:v>UCF101</x:v>
      </x:c>
      <x:c r="F283" s="34" t="str">
        <x:v>UCF101; HMDB51; FLIC; MPII</x:v>
      </x:c>
      <x:c r="G283" s="34" t="str">
        <x:v>UCF101; HMDB51; FLIC; MPII</x:v>
      </x:c>
      <x:c r="H283" s="36" t="str">
        <x:v>2016</x:v>
      </x:c>
      <x:c r="I283" s="34" t="str">
        <x:v>ECCV 2016</x:v>
      </x:c>
      <x:c r="J283" s="38" t="str">
        <x:v>No</x:v>
      </x:c>
      <x:c r="K283" s="38" t="str">
        <x:v>peer_reviewed</x:v>
      </x:c>
      <x:c r="L283" s="34" t="str">
        <x:v>10.1007/978-3-319-46448-0_32</x:v>
      </x:c>
      <x:c r="M283" s="34" t="str">
        <x:v>1603.08561</x:v>
      </x:c>
      <x:c r="N283" s="34" t="str">
        <x:v>https://link.springer.com/chapter/10.1007/978-3-319-46448-0_32</x:v>
      </x:c>
      <x:c r="O283" s="34" t="str"/>
      <x:c r="P283" s="34" t="str">
        <x:v>The self-supervised model is pretrained on unlabeled UCF101 training videos, then evaluated on action recognition and human pose estimation. A separate experiment combines it with supervised ImageNet-1K initialization.</x:v>
      </x:c>
      <x:c r="Q283" s="38" t="str">
        <x:v>2026-08-11</x:v>
      </x:c>
    </x:row>
  </x:sheetData>
  <x:conditionalFormatting sqref="J2:J283">
    <x:cfRule type="containsText" dxfId="0" priority="1" operator="containsText" text="Yes"/>
  </x:conditionalFormatting>
  <x:conditionalFormatting sqref="K2:K283">
    <x:cfRule type="containsText" dxfId="1" priority="2" operator="containsText" text="preprint"/>
  </x:conditionalFormatting>
  <x:pageMargins left="0.7" right="0.7" top="0.75" bottom="0.75" header="0.3" footer="0.3"/>
  <x:tableParts count="1">
    <x:tablePart xmlns:r="http://schemas.openxmlformats.org/officeDocument/2006/relationships" r:id="Ra4495eb97a664188"/>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12" hidden="0" customWidth="1"/>
    <x:col min="3" max="3" width="12" hidden="0" customWidth="1"/>
    <x:col min="4" max="4" width="4" hidden="0" customWidth="1"/>
    <x:col min="5" max="5" width="36" hidden="0" customWidth="1"/>
    <x:col min="6" max="6" width="12" hidden="0" customWidth="1"/>
  </x:cols>
  <x:sheetData>
    <x:row r="1" ht="38" customHeight="1">
      <x:c r="A1" s="46" t="str">
        <x:v>Canonical Video SSL Paper Audit</x:v>
      </x:c>
      <x:c r="B1" s="46"/>
      <x:c r="C1" s="46"/>
      <x:c r="D1" s="46"/>
      <x:c r="E1" s="46"/>
      <x:c r="F1" s="46"/>
    </x:row>
    <x:row r="2" ht="28" customHeight="1">
      <x:c r="A2" s="52" t="str">
        <x:v>282 canonical papers, audited by descending year and verified against primary publication records as of 2026-08-11</x:v>
      </x:c>
      <x:c r="B2" s="52"/>
      <x:c r="C2" s="52"/>
      <x:c r="D2" s="52"/>
      <x:c r="E2" s="52"/>
      <x:c r="F2" s="52"/>
    </x:row>
    <x:row r="4" ht="26" customHeight="1">
      <x:c r="A4" s="66" t="str">
        <x:v>Canonical papers</x:v>
      </x:c>
      <x:c r="B4" s="67" t="str"/>
      <x:c r="C4" s="66" t="str">
        <x:v>Peer-reviewed</x:v>
      </x:c>
      <x:c r="D4" s="67" t="str"/>
      <x:c r="E4" s="66" t="str">
        <x:v>Preprints</x:v>
      </x:c>
      <x:c r="F4" s="67" t="str"/>
    </x:row>
    <x:row r="5" ht="26" customHeight="1">
      <x:c r="A5" s="82" t="n">
        <x:f>COUNTA('Papers'!$A$2:$A$283)</x:f>
        <x:v>282</x:v>
      </x:c>
      <x:c r="B5" s="83"/>
      <x:c r="C5" s="82" t="n">
        <x:f>COUNTIF('Papers'!$K$2:$K$283,"peer_reviewed")</x:f>
        <x:v>251</x:v>
      </x:c>
      <x:c r="D5" s="83"/>
      <x:c r="E5" s="82" t="n">
        <x:f>COUNTIF('Papers'!$K$2:$K$283,"preprint")</x:f>
        <x:v>31</x:v>
      </x:c>
      <x:c r="F5" s="83"/>
    </x:row>
    <x:row r="6" ht="26" customHeight="1"/>
    <x:row r="7" ht="26" customHeight="1">
      <x:c r="A7" s="66" t="str">
        <x:v>NeurIPS papers</x:v>
      </x:c>
      <x:c r="B7" s="67" t="str"/>
      <x:c r="C7" s="66" t="str">
        <x:v>Years covered</x:v>
      </x:c>
      <x:c r="D7" s="67" t="str"/>
      <x:c r="E7" s="66" t="str">
        <x:v>Verified as of</x:v>
      </x:c>
      <x:c r="F7" s="67" t="str"/>
    </x:row>
    <x:row r="8" ht="26" customHeight="1">
      <x:c r="A8" s="82" t="n">
        <x:f>COUNTIF('Papers'!$J$2:$J$283,"Yes")</x:f>
        <x:v>16</x:v>
      </x:c>
      <x:c r="B8" s="83"/>
      <x:c r="C8" s="82" t="n">
        <x:f>MAX('Papers'!$H$2:$H$283)-MIN('Papers'!$H$2:$H$283)+1</x:f>
        <x:v>11</x:v>
      </x:c>
      <x:c r="D8" s="83"/>
      <x:c r="E8" s="82" t="str">
        <x:v>2026-08-11</x:v>
      </x:c>
      <x:c r="F8" s="83"/>
    </x:row>
    <x:row r="11" ht="22" customHeight="1">
      <x:c r="A11" s="102" t="str">
        <x:v>Year</x:v>
      </x:c>
      <x:c r="B11" s="103" t="str">
        <x:v>Papers</x:v>
      </x:c>
      <x:c r="C11" s="104" t="str">
        <x:v>NeurIPS</x:v>
      </x:c>
      <x:c r="E11" s="102" t="str">
        <x:v>Publication status</x:v>
      </x:c>
      <x:c r="F11" s="104" t="str">
        <x:v>Count</x:v>
      </x:c>
    </x:row>
    <x:row r="12" ht="22" customHeight="1">
      <x:c r="A12" s="146" t="n">
        <x:v>2026</x:v>
      </x:c>
      <x:c r="B12" s="147" t="n">
        <x:f>COUNTIF('Papers'!$H$2:$H$283,A12)</x:f>
        <x:v>17</x:v>
      </x:c>
      <x:c r="C12" s="148" t="n">
        <x:f>COUNTIFS('Papers'!$H$2:$H$283,A12,'Papers'!$J$2:$J$283,"Yes")</x:f>
        <x:v>0</x:v>
      </x:c>
      <x:c r="E12" s="128" t="str">
        <x:v>peer_reviewed</x:v>
      </x:c>
      <x:c r="F12" s="148" t="n">
        <x:f>COUNTIF('Papers'!$K$2:$K$283,E12)</x:f>
        <x:v>251</x:v>
      </x:c>
    </x:row>
    <x:row r="13" ht="22" customHeight="1">
      <x:c r="A13" s="149" t="n">
        <x:v>2025</x:v>
      </x:c>
      <x:c r="B13" s="150" t="n">
        <x:f>COUNTIF('Papers'!$H$2:$H$283,A13)</x:f>
        <x:v>34</x:v>
      </x:c>
      <x:c r="C13" s="151" t="n">
        <x:f>COUNTIFS('Papers'!$H$2:$H$283,A13,'Papers'!$J$2:$J$283,"Yes")</x:f>
        <x:v>2</x:v>
      </x:c>
      <x:c r="E13" s="134" t="str">
        <x:v>preprint</x:v>
      </x:c>
      <x:c r="F13" s="154" t="n">
        <x:f>COUNTIF('Papers'!$K$2:$K$283,E13)</x:f>
        <x:v>31</x:v>
      </x:c>
    </x:row>
    <x:row r="14" ht="22" customHeight="1">
      <x:c r="A14" s="149" t="n">
        <x:v>2024</x:v>
      </x:c>
      <x:c r="B14" s="150" t="n">
        <x:f>COUNTIF('Papers'!$H$2:$H$283,A14)</x:f>
        <x:v>35</x:v>
      </x:c>
      <x:c r="C14" s="151" t="n">
        <x:f>COUNTIFS('Papers'!$H$2:$H$283,A14,'Papers'!$J$2:$J$283,"Yes")</x:f>
        <x:v>1</x:v>
      </x:c>
      <x:c r="F14" s="164"/>
    </x:row>
    <x:row r="15" ht="22" customHeight="1">
      <x:c r="A15" s="149" t="n">
        <x:v>2023</x:v>
      </x:c>
      <x:c r="B15" s="150" t="n">
        <x:f>COUNTIF('Papers'!$H$2:$H$283,A15)</x:f>
        <x:v>54</x:v>
      </x:c>
      <x:c r="C15" s="151" t="n">
        <x:f>COUNTIFS('Papers'!$H$2:$H$283,A15,'Papers'!$J$2:$J$283,"Yes")</x:f>
        <x:v>4</x:v>
      </x:c>
      <x:c r="F15" s="164"/>
    </x:row>
    <x:row r="16" ht="22" customHeight="1">
      <x:c r="A16" s="149" t="n">
        <x:v>2022</x:v>
      </x:c>
      <x:c r="B16" s="150" t="n">
        <x:f>COUNTIF('Papers'!$H$2:$H$283,A16)</x:f>
        <x:v>56</x:v>
      </x:c>
      <x:c r="C16" s="151" t="n">
        <x:f>COUNTIFS('Papers'!$H$2:$H$283,A16,'Papers'!$J$2:$J$283,"Yes")</x:f>
        <x:v>2</x:v>
      </x:c>
      <x:c r="E16" s="102" t="str">
        <x:v>Method family</x:v>
      </x:c>
      <x:c r="F16" s="104" t="str">
        <x:v>Count</x:v>
      </x:c>
    </x:row>
    <x:row r="17" ht="22" customHeight="1">
      <x:c r="A17" s="149" t="n">
        <x:v>2021</x:v>
      </x:c>
      <x:c r="B17" s="150" t="n">
        <x:f>COUNTIF('Papers'!$H$2:$H$283,A17)</x:f>
        <x:v>39</x:v>
      </x:c>
      <x:c r="C17" s="151" t="n">
        <x:f>COUNTIFS('Papers'!$H$2:$H$283,A17,'Papers'!$J$2:$J$283,"Yes")</x:f>
        <x:v>2</x:v>
      </x:c>
      <x:c r="E17" s="128" t="str">
        <x:v>Contrastive</x:v>
      </x:c>
      <x:c r="F17" s="148" t="n">
        <x:f>COUNTIF('Papers'!$D$2:$D$283,E17)</x:f>
        <x:v>89</x:v>
      </x:c>
    </x:row>
    <x:row r="18" ht="22" customHeight="1">
      <x:c r="A18" s="149" t="n">
        <x:v>2020</x:v>
      </x:c>
      <x:c r="B18" s="150" t="n">
        <x:f>COUNTIF('Papers'!$H$2:$H$283,A18)</x:f>
        <x:v>28</x:v>
      </x:c>
      <x:c r="C18" s="151" t="n">
        <x:f>COUNTIFS('Papers'!$H$2:$H$283,A18,'Papers'!$J$2:$J$283,"Yes")</x:f>
        <x:v>4</x:v>
      </x:c>
      <x:c r="E18" s="131" t="str">
        <x:v>Pretext / Predictive</x:v>
      </x:c>
      <x:c r="F18" s="151" t="n">
        <x:f>COUNTIF('Papers'!$D$2:$D$283,E18)</x:f>
        <x:v>57</x:v>
      </x:c>
    </x:row>
    <x:row r="19" ht="22" customHeight="1">
      <x:c r="A19" s="149" t="n">
        <x:v>2019</x:v>
      </x:c>
      <x:c r="B19" s="150" t="n">
        <x:f>COUNTIF('Papers'!$H$2:$H$283,A19)</x:f>
        <x:v>9</x:v>
      </x:c>
      <x:c r="C19" s="151" t="n">
        <x:f>COUNTIFS('Papers'!$H$2:$H$283,A19,'Papers'!$J$2:$J$283,"Yes")</x:f>
        <x:v>0</x:v>
      </x:c>
      <x:c r="E19" s="131" t="str">
        <x:v>Generative / Masked</x:v>
      </x:c>
      <x:c r="F19" s="151" t="n">
        <x:f>COUNTIF('Papers'!$D$2:$D$283,E19)</x:f>
        <x:v>49</x:v>
      </x:c>
    </x:row>
    <x:row r="20" ht="22" customHeight="1">
      <x:c r="A20" s="149" t="n">
        <x:v>2018</x:v>
      </x:c>
      <x:c r="B20" s="150" t="n">
        <x:f>COUNTIF('Papers'!$H$2:$H$283,A20)</x:f>
        <x:v>7</x:v>
      </x:c>
      <x:c r="C20" s="151" t="n">
        <x:f>COUNTIFS('Papers'!$H$2:$H$283,A20,'Papers'!$J$2:$J$283,"Yes")</x:f>
        <x:v>1</x:v>
      </x:c>
      <x:c r="E20" s="131" t="str">
        <x:v>Other / Hybrid</x:v>
      </x:c>
      <x:c r="F20" s="151" t="n">
        <x:f>COUNTIF('Papers'!$D$2:$D$283,E20)</x:f>
        <x:v>36</x:v>
      </x:c>
    </x:row>
    <x:row r="21" ht="22" customHeight="1">
      <x:c r="A21" s="149" t="n">
        <x:v>2017</x:v>
      </x:c>
      <x:c r="B21" s="150" t="n">
        <x:f>COUNTIF('Papers'!$H$2:$H$283,A21)</x:f>
        <x:v>2</x:v>
      </x:c>
      <x:c r="C21" s="151" t="n">
        <x:f>COUNTIFS('Papers'!$H$2:$H$283,A21,'Papers'!$J$2:$J$283,"Yes")</x:f>
        <x:v>0</x:v>
      </x:c>
      <x:c r="E21" s="131" t="str">
        <x:v>Multimodal / Audio-Visual</x:v>
      </x:c>
      <x:c r="F21" s="151" t="n">
        <x:f>COUNTIF('Papers'!$D$2:$D$283,E21)</x:f>
        <x:v>33</x:v>
      </x:c>
    </x:row>
    <x:row r="22" ht="22" customHeight="1">
      <x:c r="A22" s="152" t="n">
        <x:v>2016</x:v>
      </x:c>
      <x:c r="B22" s="153" t="n">
        <x:f>COUNTIF('Papers'!$H$2:$H$283,A22)</x:f>
        <x:v>1</x:v>
      </x:c>
      <x:c r="C22" s="154" t="n">
        <x:f>COUNTIFS('Papers'!$H$2:$H$283,A22,'Papers'!$J$2:$J$283,"Yes")</x:f>
        <x:v>0</x:v>
      </x:c>
      <x:c r="E22" s="131" t="str">
        <x:v>Distillation / Teacher-Student</x:v>
      </x:c>
      <x:c r="F22" s="151" t="n">
        <x:f>COUNTIF('Papers'!$D$2:$D$283,E22)</x:f>
        <x:v>9</x:v>
      </x:c>
    </x:row>
    <x:row r="23" ht="22" customHeight="1">
      <x:c r="E23" s="131" t="str">
        <x:v>Multimodal / Video-Language</x:v>
      </x:c>
      <x:c r="F23" s="151" t="n">
        <x:f>COUNTIF('Papers'!$D$2:$D$283,E23)</x:f>
        <x:v>5</x:v>
      </x:c>
    </x:row>
    <x:row r="24" ht="22" customHeight="1">
      <x:c r="E24" s="131" t="str">
        <x:v>Cross-Modal</x:v>
      </x:c>
      <x:c r="F24" s="151" t="n">
        <x:f>COUNTIF('Papers'!$D$2:$D$283,E24)</x:f>
        <x:v>3</x:v>
      </x:c>
    </x:row>
    <x:row r="25" ht="22" customHeight="1">
      <x:c r="E25" s="134" t="str">
        <x:v>Clustering / Prototypes</x:v>
      </x:c>
      <x:c r="F25" s="154" t="n">
        <x:f>COUNTIF('Papers'!$D$2:$D$283,E25)</x:f>
        <x:v>1</x:v>
      </x:c>
    </x:row>
  </x:sheetData>
  <x:mergeCells>
    <x:mergeCell ref="A1:F1"/>
    <x:mergeCell ref="A2:F2"/>
    <x:mergeCell ref="A4:B4"/>
    <x:mergeCell ref="C4:D4"/>
    <x:mergeCell ref="E4:F4"/>
    <x:mergeCell ref="A7:B7"/>
    <x:mergeCell ref="C7:D7"/>
    <x:mergeCell ref="E7:F7"/>
    <x:mergeCell ref="A5:B5"/>
    <x:mergeCell ref="C5:D5"/>
    <x:mergeCell ref="E5:F5"/>
    <x:mergeCell ref="A8:B8"/>
    <x:mergeCell ref="C8:D8"/>
    <x:mergeCell ref="E8:F8"/>
  </x:mergeCells>
  <x:pageMargins left="0.7" right="0.7" top="0.75" bottom="0.75" header="0.3" footer="0.3"/>
</x:worksheet>
</file>